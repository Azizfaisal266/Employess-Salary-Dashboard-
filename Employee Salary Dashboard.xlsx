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8_{0A635A9C-B181-5B46-9F3D-9234765E87B5}" xr6:coauthVersionLast="47" xr6:coauthVersionMax="47" xr10:uidLastSave="{00000000-0000-0000-0000-000000000000}"/>
  <bookViews>
    <workbookView xWindow="-120" yWindow="-120" windowWidth="24240" windowHeight="17640" activeTab="1" xr2:uid="{9EA05730-0169-4EB1-9434-DB2BDB201920}"/>
  </bookViews>
  <sheets>
    <sheet name="pivottable" sheetId="3" r:id="rId1"/>
    <sheet name="Dashboard" sheetId="7" r:id="rId2"/>
    <sheet name="Department " sheetId="1" r:id="rId3"/>
  </sheets>
  <definedNames>
    <definedName name="Slicer_Gender">#N/A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I11" i="1"/>
  <c r="I12" i="1"/>
  <c r="I13" i="1"/>
  <c r="I14" i="1"/>
  <c r="I15" i="1"/>
  <c r="I16" i="1"/>
  <c r="I17" i="1"/>
  <c r="I18" i="1"/>
  <c r="I19" i="1"/>
  <c r="I20" i="1"/>
  <c r="I21" i="1"/>
  <c r="I22" i="1"/>
  <c r="I23" i="1"/>
  <c r="I24" i="1"/>
  <c r="I25" i="1"/>
  <c r="I26" i="1"/>
  <c r="I27" i="1"/>
  <c r="I28" i="1"/>
  <c r="I29" i="1"/>
  <c r="I30" i="1"/>
  <c r="C6" i="1"/>
  <c r="C7" i="1"/>
  <c r="C8" i="1"/>
  <c r="C9" i="1"/>
  <c r="I3" i="1"/>
  <c r="I4" i="1"/>
  <c r="I5" i="1"/>
  <c r="I6" i="1"/>
  <c r="I7" i="1"/>
  <c r="I8" i="1"/>
  <c r="I9" i="1"/>
  <c r="I10" i="1"/>
  <c r="I2" i="1"/>
</calcChain>
</file>

<file path=xl/sharedStrings.xml><?xml version="1.0" encoding="utf-8"?>
<sst xmlns="http://schemas.openxmlformats.org/spreadsheetml/2006/main" count="314" uniqueCount="134">
  <si>
    <t>ID</t>
  </si>
  <si>
    <t>S01</t>
  </si>
  <si>
    <t>S02</t>
  </si>
  <si>
    <t>S03</t>
  </si>
  <si>
    <t>S04</t>
  </si>
  <si>
    <t>S05</t>
  </si>
  <si>
    <t>S06</t>
  </si>
  <si>
    <t>S07</t>
  </si>
  <si>
    <t>S08</t>
  </si>
  <si>
    <t>S09</t>
  </si>
  <si>
    <t>firstname</t>
  </si>
  <si>
    <t>Salary</t>
  </si>
  <si>
    <t>khaled</t>
  </si>
  <si>
    <t>Mohamed</t>
  </si>
  <si>
    <t>Ahmed</t>
  </si>
  <si>
    <t>Mohsen</t>
  </si>
  <si>
    <t>Mena</t>
  </si>
  <si>
    <t>Department</t>
  </si>
  <si>
    <t>HR</t>
  </si>
  <si>
    <t>IT</t>
  </si>
  <si>
    <t>Ali</t>
  </si>
  <si>
    <t>Job_title</t>
  </si>
  <si>
    <t>Gender</t>
  </si>
  <si>
    <t xml:space="preserve">Data Engineer </t>
  </si>
  <si>
    <t xml:space="preserve">Data Analyst </t>
  </si>
  <si>
    <t>Data Scientist</t>
  </si>
  <si>
    <t>Ai Engineer</t>
  </si>
  <si>
    <t>HR  Specialist</t>
  </si>
  <si>
    <t>Male</t>
  </si>
  <si>
    <t>Female</t>
  </si>
  <si>
    <t>Start_date</t>
  </si>
  <si>
    <t>Bonus</t>
  </si>
  <si>
    <t>Total_Salary</t>
  </si>
  <si>
    <t>City</t>
  </si>
  <si>
    <t>Cairo</t>
  </si>
  <si>
    <t>Alex</t>
  </si>
  <si>
    <t>Benha</t>
  </si>
  <si>
    <t>Luxor</t>
  </si>
  <si>
    <t>Mansoura</t>
  </si>
  <si>
    <t>Lastname</t>
  </si>
  <si>
    <t>Nezar</t>
  </si>
  <si>
    <t>Sobhy</t>
  </si>
  <si>
    <t>Aziz</t>
  </si>
  <si>
    <t>Khaled</t>
  </si>
  <si>
    <t>Row Labels</t>
  </si>
  <si>
    <t>Grand Total</t>
  </si>
  <si>
    <t>Sum of Total_Salary</t>
  </si>
  <si>
    <t>Sum of Salary</t>
  </si>
  <si>
    <t>Average of Salary</t>
  </si>
  <si>
    <t>Average of Total_Salary</t>
  </si>
  <si>
    <t>Count of ID</t>
  </si>
  <si>
    <t>2010</t>
  </si>
  <si>
    <t>2013</t>
  </si>
  <si>
    <t>2015</t>
  </si>
  <si>
    <t>2016</t>
  </si>
  <si>
    <t>2017</t>
  </si>
  <si>
    <t>2018</t>
  </si>
  <si>
    <t>2019</t>
  </si>
  <si>
    <t>2020</t>
  </si>
  <si>
    <t xml:space="preserve">Employee Salary Dashboard </t>
  </si>
  <si>
    <t>S10</t>
  </si>
  <si>
    <t>S11</t>
  </si>
  <si>
    <t>S12</t>
  </si>
  <si>
    <t>S13</t>
  </si>
  <si>
    <t>S14</t>
  </si>
  <si>
    <t>S15</t>
  </si>
  <si>
    <t>S16</t>
  </si>
  <si>
    <t>S17</t>
  </si>
  <si>
    <t>S18</t>
  </si>
  <si>
    <t>S19</t>
  </si>
  <si>
    <t>S20</t>
  </si>
  <si>
    <t>S21</t>
  </si>
  <si>
    <t>S22</t>
  </si>
  <si>
    <t>S23</t>
  </si>
  <si>
    <t>S24</t>
  </si>
  <si>
    <t>S25</t>
  </si>
  <si>
    <t>S26</t>
  </si>
  <si>
    <t>S27</t>
  </si>
  <si>
    <t>S28</t>
  </si>
  <si>
    <t>S29</t>
  </si>
  <si>
    <t>Sara</t>
  </si>
  <si>
    <t>Hani</t>
  </si>
  <si>
    <t xml:space="preserve">IT specialist </t>
  </si>
  <si>
    <t>Omar</t>
  </si>
  <si>
    <t>Saleh</t>
  </si>
  <si>
    <t>Samer</t>
  </si>
  <si>
    <t>Hassan</t>
  </si>
  <si>
    <t>Fady</t>
  </si>
  <si>
    <t>Galal</t>
  </si>
  <si>
    <t xml:space="preserve">Ayman </t>
  </si>
  <si>
    <t>Gomaa</t>
  </si>
  <si>
    <t>Samir</t>
  </si>
  <si>
    <t>Mousa</t>
  </si>
  <si>
    <t>Salah</t>
  </si>
  <si>
    <t xml:space="preserve">Seraj </t>
  </si>
  <si>
    <t>Megoo</t>
  </si>
  <si>
    <t>Amr</t>
  </si>
  <si>
    <t>Ibrahim</t>
  </si>
  <si>
    <t>Taha</t>
  </si>
  <si>
    <t>Seif</t>
  </si>
  <si>
    <t>Ayman</t>
  </si>
  <si>
    <t>Gazzal</t>
  </si>
  <si>
    <t>Helal</t>
  </si>
  <si>
    <t>Mugahed</t>
  </si>
  <si>
    <t>Dina</t>
  </si>
  <si>
    <t>Gamal</t>
  </si>
  <si>
    <t>Tarek</t>
  </si>
  <si>
    <t>Samira</t>
  </si>
  <si>
    <t>kassab</t>
  </si>
  <si>
    <t xml:space="preserve">Dalia </t>
  </si>
  <si>
    <t>Tomy</t>
  </si>
  <si>
    <t>Hana</t>
  </si>
  <si>
    <t>Waly</t>
  </si>
  <si>
    <t>Hanady</t>
  </si>
  <si>
    <t>Mansour</t>
  </si>
  <si>
    <t>Vero</t>
  </si>
  <si>
    <t>Sameh</t>
  </si>
  <si>
    <t>2005</t>
  </si>
  <si>
    <t>2006</t>
  </si>
  <si>
    <t>2007</t>
  </si>
  <si>
    <t>2008</t>
  </si>
  <si>
    <t>2009</t>
  </si>
  <si>
    <t>2014</t>
  </si>
  <si>
    <t>2021</t>
  </si>
  <si>
    <t>2022</t>
  </si>
  <si>
    <t>2023</t>
  </si>
  <si>
    <t>Sum of Bonus</t>
  </si>
  <si>
    <t>Average of Bonus2</t>
  </si>
  <si>
    <t>Average of Bonus</t>
  </si>
  <si>
    <t>400-500</t>
  </si>
  <si>
    <t>300-399</t>
  </si>
  <si>
    <t>200-299</t>
  </si>
  <si>
    <t>100-199</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</si>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</sst>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5" x14ac:knownFonts="1">
    <font>
      <sz val="11"/>
      <color theme="1"/>
      <name val="Aptos Narrow"/>
      <family val="2"/>
      <scheme val="minor"/>
    </font>
    <font>
      <sz val="14"/>
      <color theme="1"/>
      <name val="Aptos Narrow"/>
      <family val="2"/>
      <scheme val="minor"/>
    </font>
    <font>
      <sz val="8"/>
      <name val="Aptos Narrow"/>
      <family val="2"/>
      <scheme val="minor"/>
    </font>
    <font>
      <sz val="14"/>
      <color rgb="FFFF0000"/>
      <name val="Aptos Narrow"/>
      <family val="2"/>
      <scheme val="minor"/>
    </font>
    <font>
      <sz val="20"/>
      <color theme="1"/>
      <name val="Aptos Narrow"/>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49" fontId="1" fillId="0" borderId="0" xfId="0" applyNumberFormat="1" applyFont="1"/>
    <xf numFmtId="0" fontId="0" fillId="0" borderId="0" xfId="0" applyAlignment="1">
      <alignment horizontal="center"/>
    </xf>
    <xf numFmtId="49" fontId="0" fillId="0" borderId="0" xfId="0" applyNumberFormat="1"/>
    <xf numFmtId="49" fontId="3" fillId="2" borderId="0" xfId="0" applyNumberFormat="1" applyFont="1" applyFill="1"/>
    <xf numFmtId="2" fontId="3" fillId="2" borderId="0" xfId="0" applyNumberFormat="1" applyFont="1" applyFill="1"/>
    <xf numFmtId="14" fontId="0" fillId="0" borderId="0" xfId="0" applyNumberFormat="1"/>
    <xf numFmtId="14" fontId="3" fillId="2" borderId="0" xfId="0" applyNumberFormat="1" applyFont="1" applyFill="1"/>
    <xf numFmtId="0" fontId="1" fillId="0" borderId="0" xfId="0" applyFont="1" applyAlignment="1">
      <alignment horizontal="left"/>
    </xf>
    <xf numFmtId="164" fontId="1" fillId="0" borderId="0" xfId="0" applyNumberFormat="1" applyFont="1"/>
    <xf numFmtId="164" fontId="3" fillId="2" borderId="0" xfId="0" applyNumberFormat="1" applyFont="1" applyFill="1"/>
    <xf numFmtId="164" fontId="0" fillId="0" borderId="0" xfId="0" applyNumberFormat="1"/>
    <xf numFmtId="0" fontId="0" fillId="0" borderId="0" xfId="0" pivotButton="1"/>
    <xf numFmtId="0" fontId="0" fillId="0" borderId="0" xfId="0" applyAlignment="1">
      <alignment horizontal="left"/>
    </xf>
    <xf numFmtId="49" fontId="0" fillId="0" borderId="0" xfId="0" pivotButton="1" applyNumberFormat="1"/>
    <xf numFmtId="49" fontId="0" fillId="0" borderId="0" xfId="0" applyNumberFormat="1" applyAlignment="1">
      <alignment horizontal="left"/>
    </xf>
    <xf numFmtId="49" fontId="1" fillId="0" borderId="0" xfId="0" applyNumberFormat="1" applyFont="1" applyAlignment="1">
      <alignment horizontal="left"/>
    </xf>
    <xf numFmtId="0" fontId="0" fillId="0" borderId="0" xfId="0" applyAlignment="1">
      <alignment horizontal="left" indent="1"/>
    </xf>
    <xf numFmtId="164" fontId="0" fillId="0" borderId="0" xfId="0" applyNumberFormat="1" applyAlignment="1">
      <alignment horizontal="left"/>
    </xf>
    <xf numFmtId="165" fontId="3" fillId="2" borderId="0" xfId="0" applyNumberFormat="1" applyFont="1" applyFill="1"/>
    <xf numFmtId="165" fontId="0" fillId="0" borderId="0" xfId="0" applyNumberFormat="1"/>
    <xf numFmtId="165" fontId="0" fillId="0" borderId="0" xfId="0" pivotButton="1" applyNumberFormat="1"/>
    <xf numFmtId="0" fontId="4" fillId="3" borderId="0" xfId="0" applyFont="1" applyFill="1" applyAlignment="1">
      <alignment horizontal="center" vertical="center"/>
    </xf>
  </cellXfs>
  <cellStyles count="1">
    <cellStyle name="Normal" xfId="0" builtinId="0"/>
  </cellStyles>
  <dxfs count="20">
    <dxf>
      <font>
        <color rgb="FF9C0006"/>
      </font>
      <fill>
        <patternFill>
          <bgColor rgb="FFFFC7CE"/>
        </patternFill>
      </fill>
    </dxf>
    <dxf>
      <numFmt numFmtId="30" formatCode="@"/>
    </dxf>
    <dxf>
      <numFmt numFmtId="164" formatCode="&quot;£&quot;#,##0"/>
    </dxf>
    <dxf>
      <numFmt numFmtId="164" formatCode="&quot;£&quot;#,##0"/>
    </dxf>
    <dxf>
      <numFmt numFmtId="30" formatCode="@"/>
    </dxf>
    <dxf>
      <numFmt numFmtId="30" formatCode="@"/>
    </dxf>
    <dxf>
      <numFmt numFmtId="19" formatCode="dd/mm/yyyy"/>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numFmt numFmtId="164" formatCode="&quot;£&quot;#,##0"/>
    </dxf>
    <dxf>
      <font>
        <b val="0"/>
        <i val="0"/>
        <strike val="0"/>
        <condense val="0"/>
        <extend val="0"/>
        <outline val="0"/>
        <shadow val="0"/>
        <u val="none"/>
        <vertAlign val="baseline"/>
        <sz val="14"/>
        <color theme="1"/>
        <name val="Aptos Narrow"/>
        <family val="2"/>
        <scheme val="minor"/>
      </font>
      <numFmt numFmtId="30" formatCode="@"/>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numFmt numFmtId="30" formatCode="@"/>
    </dxf>
    <dxf>
      <font>
        <b val="0"/>
        <i val="0"/>
        <strike val="0"/>
        <condense val="0"/>
        <extend val="0"/>
        <outline val="0"/>
        <shadow val="0"/>
        <u val="none"/>
        <vertAlign val="baseline"/>
        <sz val="14"/>
        <color rgb="FFFF0000"/>
        <name val="Aptos Narrow"/>
        <family val="2"/>
        <scheme val="minor"/>
      </font>
      <numFmt numFmtId="30" formatCode="@"/>
      <fill>
        <patternFill patternType="solid">
          <fgColor indexed="64"/>
          <bgColor theme="5" tint="0.59999389629810485"/>
        </patternFill>
      </fill>
    </dxf>
    <dxf>
      <numFmt numFmtId="30" formatCode="@"/>
    </dxf>
    <dxf>
      <numFmt numFmtId="30" formatCode="@"/>
    </dxf>
    <dxf>
      <numFmt numFmtId="165" formatCode="&quot;£&quot;#,##0.00"/>
    </dxf>
    <dxf>
      <numFmt numFmtId="30" formatCode="@"/>
    </dxf>
    <dxf>
      <numFmt numFmtId="30" formatCode="@"/>
    </dxf>
    <dxf>
      <numFmt numFmtId="30" formatCode="@"/>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microsoft.com/office/2007/relationships/slicerCache" Target="slicerCaches/slicerCache1.xml" /><Relationship Id="rId4" Type="http://schemas.openxmlformats.org/officeDocument/2006/relationships/pivotCacheDefinition" Target="pivotCache/pivotCacheDefinition1.xml" /><Relationship Id="rId9" Type="http://schemas.openxmlformats.org/officeDocument/2006/relationships/calcChain" Target="calcChain.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Dashboard.xlsx]pivottable!PivotTable1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Salary &amp; Average of Total Salary by City</a:t>
            </a:r>
          </a:p>
          <a:p>
            <a:pPr>
              <a:defRPr/>
            </a:pPr>
            <a:endParaRPr lang="en-GB"/>
          </a:p>
        </c:rich>
      </c:tx>
      <c:layout>
        <c:manualLayout>
          <c:xMode val="edge"/>
          <c:yMode val="edge"/>
          <c:x val="0.11528472381065467"/>
          <c:y val="3.53212711318068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146100019647"/>
          <c:y val="0.17155560173782938"/>
          <c:w val="0.61658006760671236"/>
          <c:h val="0.72964849038252655"/>
        </c:manualLayout>
      </c:layout>
      <c:barChart>
        <c:barDir val="col"/>
        <c:grouping val="clustered"/>
        <c:varyColors val="0"/>
        <c:ser>
          <c:idx val="0"/>
          <c:order val="0"/>
          <c:tx>
            <c:strRef>
              <c:f>pivottable!$B$3</c:f>
              <c:strCache>
                <c:ptCount val="1"/>
                <c:pt idx="0">
                  <c:v>Average of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pivottable!$A$4:$A$9</c:f>
              <c:strCache>
                <c:ptCount val="5"/>
                <c:pt idx="0">
                  <c:v>Alex</c:v>
                </c:pt>
                <c:pt idx="1">
                  <c:v>Benha</c:v>
                </c:pt>
                <c:pt idx="2">
                  <c:v>Cairo</c:v>
                </c:pt>
                <c:pt idx="3">
                  <c:v>Luxor</c:v>
                </c:pt>
                <c:pt idx="4">
                  <c:v>Mansoura</c:v>
                </c:pt>
              </c:strCache>
            </c:strRef>
          </c:cat>
          <c:val>
            <c:numRef>
              <c:f>pivottable!$B$4:$B$9</c:f>
              <c:numCache>
                <c:formatCode>"£"#,##0</c:formatCode>
                <c:ptCount val="5"/>
                <c:pt idx="0">
                  <c:v>3300</c:v>
                </c:pt>
                <c:pt idx="1">
                  <c:v>3333.3333333333335</c:v>
                </c:pt>
                <c:pt idx="2">
                  <c:v>2944.4444444444443</c:v>
                </c:pt>
                <c:pt idx="3">
                  <c:v>2500</c:v>
                </c:pt>
                <c:pt idx="4">
                  <c:v>3500</c:v>
                </c:pt>
              </c:numCache>
            </c:numRef>
          </c:val>
          <c:extLst>
            <c:ext xmlns:c16="http://schemas.microsoft.com/office/drawing/2014/chart" uri="{C3380CC4-5D6E-409C-BE32-E72D297353CC}">
              <c16:uniqueId val="{00000000-D238-497D-8E1A-60AA2C9951AD}"/>
            </c:ext>
          </c:extLst>
        </c:ser>
        <c:ser>
          <c:idx val="1"/>
          <c:order val="1"/>
          <c:tx>
            <c:strRef>
              <c:f>pivottable!$C$3</c:f>
              <c:strCache>
                <c:ptCount val="1"/>
                <c:pt idx="0">
                  <c:v>Average of Total_Salary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pivottable!$A$4:$A$9</c:f>
              <c:strCache>
                <c:ptCount val="5"/>
                <c:pt idx="0">
                  <c:v>Alex</c:v>
                </c:pt>
                <c:pt idx="1">
                  <c:v>Benha</c:v>
                </c:pt>
                <c:pt idx="2">
                  <c:v>Cairo</c:v>
                </c:pt>
                <c:pt idx="3">
                  <c:v>Luxor</c:v>
                </c:pt>
                <c:pt idx="4">
                  <c:v>Mansoura</c:v>
                </c:pt>
              </c:strCache>
            </c:strRef>
          </c:cat>
          <c:val>
            <c:numRef>
              <c:f>pivottable!$C$4:$C$9</c:f>
              <c:numCache>
                <c:formatCode>"£"#,##0</c:formatCode>
                <c:ptCount val="5"/>
                <c:pt idx="0">
                  <c:v>3630</c:v>
                </c:pt>
                <c:pt idx="1">
                  <c:v>3666.6666666666665</c:v>
                </c:pt>
                <c:pt idx="2">
                  <c:v>3216.6666666666665</c:v>
                </c:pt>
                <c:pt idx="3">
                  <c:v>2750</c:v>
                </c:pt>
                <c:pt idx="4">
                  <c:v>3850</c:v>
                </c:pt>
              </c:numCache>
            </c:numRef>
          </c:val>
          <c:extLst>
            <c:ext xmlns:c16="http://schemas.microsoft.com/office/drawing/2014/chart" uri="{C3380CC4-5D6E-409C-BE32-E72D297353CC}">
              <c16:uniqueId val="{00000001-D238-497D-8E1A-60AA2C9951AD}"/>
            </c:ext>
          </c:extLst>
        </c:ser>
        <c:dLbls>
          <c:showLegendKey val="0"/>
          <c:showVal val="0"/>
          <c:showCatName val="0"/>
          <c:showSerName val="0"/>
          <c:showPercent val="0"/>
          <c:showBubbleSize val="0"/>
        </c:dLbls>
        <c:gapWidth val="100"/>
        <c:overlap val="-24"/>
        <c:axId val="1949611983"/>
        <c:axId val="1949609103"/>
      </c:barChart>
      <c:catAx>
        <c:axId val="19496119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9609103"/>
        <c:crosses val="autoZero"/>
        <c:auto val="1"/>
        <c:lblAlgn val="ctr"/>
        <c:lblOffset val="100"/>
        <c:noMultiLvlLbl val="0"/>
      </c:catAx>
      <c:valAx>
        <c:axId val="194960910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9611983"/>
        <c:crosses val="autoZero"/>
        <c:crossBetween val="between"/>
      </c:valAx>
      <c:spPr>
        <a:noFill/>
        <a:ln>
          <a:noFill/>
        </a:ln>
        <a:effectLst/>
      </c:spPr>
    </c:plotArea>
    <c:legend>
      <c:legendPos val="r"/>
      <c:layout>
        <c:manualLayout>
          <c:xMode val="edge"/>
          <c:yMode val="edge"/>
          <c:x val="0.75041876046901168"/>
          <c:y val="0.39898645887257173"/>
          <c:w val="0.18927973199329984"/>
          <c:h val="0.28733455030923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Dashboard.xlsx]pivottable!PivotTable22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a:t>
            </a:r>
            <a:r>
              <a:rPr lang="en-GB" b="1" baseline="0"/>
              <a:t> Salary &amp; Average of total Salary by years</a:t>
            </a:r>
            <a:r>
              <a:rPr lang="en-GB" b="1"/>
              <a:t> </a:t>
            </a:r>
          </a:p>
        </c:rich>
      </c:tx>
      <c:layout>
        <c:manualLayout>
          <c:xMode val="edge"/>
          <c:yMode val="edge"/>
          <c:x val="0.14379917256340444"/>
          <c:y val="3.56950032390648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6981627296588"/>
          <c:y val="0.14249781277340332"/>
          <c:w val="0.633514435695538"/>
          <c:h val="0.62531350247885686"/>
        </c:manualLayout>
      </c:layout>
      <c:lineChart>
        <c:grouping val="standard"/>
        <c:varyColors val="0"/>
        <c:ser>
          <c:idx val="0"/>
          <c:order val="0"/>
          <c:tx>
            <c:strRef>
              <c:f>pivottable!$C$25</c:f>
              <c:strCache>
                <c:ptCount val="1"/>
                <c:pt idx="0">
                  <c:v>Average of Salary</c:v>
                </c:pt>
              </c:strCache>
            </c:strRef>
          </c:tx>
          <c:spPr>
            <a:ln w="28575" cap="rnd">
              <a:solidFill>
                <a:schemeClr val="accent1"/>
              </a:solidFill>
              <a:round/>
            </a:ln>
            <a:effectLst/>
          </c:spPr>
          <c:marker>
            <c:symbol val="none"/>
          </c:marker>
          <c:cat>
            <c:strRef>
              <c:f>pivottable!$B$26:$B$43</c:f>
              <c:strCache>
                <c:ptCount val="17"/>
                <c:pt idx="0">
                  <c:v>2005</c:v>
                </c:pt>
                <c:pt idx="1">
                  <c:v>2006</c:v>
                </c:pt>
                <c:pt idx="2">
                  <c:v>2007</c:v>
                </c:pt>
                <c:pt idx="3">
                  <c:v>2008</c:v>
                </c:pt>
                <c:pt idx="4">
                  <c:v>2009</c:v>
                </c:pt>
                <c:pt idx="5">
                  <c:v>2010</c:v>
                </c:pt>
                <c:pt idx="6">
                  <c:v>2013</c:v>
                </c:pt>
                <c:pt idx="7">
                  <c:v>2014</c:v>
                </c:pt>
                <c:pt idx="8">
                  <c:v>2015</c:v>
                </c:pt>
                <c:pt idx="9">
                  <c:v>2016</c:v>
                </c:pt>
                <c:pt idx="10">
                  <c:v>2017</c:v>
                </c:pt>
                <c:pt idx="11">
                  <c:v>2018</c:v>
                </c:pt>
                <c:pt idx="12">
                  <c:v>2019</c:v>
                </c:pt>
                <c:pt idx="13">
                  <c:v>2020</c:v>
                </c:pt>
                <c:pt idx="14">
                  <c:v>2021</c:v>
                </c:pt>
                <c:pt idx="15">
                  <c:v>2022</c:v>
                </c:pt>
                <c:pt idx="16">
                  <c:v>2023</c:v>
                </c:pt>
              </c:strCache>
            </c:strRef>
          </c:cat>
          <c:val>
            <c:numRef>
              <c:f>pivottable!$C$26:$C$43</c:f>
              <c:numCache>
                <c:formatCode>"£"#,##0</c:formatCode>
                <c:ptCount val="17"/>
                <c:pt idx="0">
                  <c:v>4000</c:v>
                </c:pt>
                <c:pt idx="1">
                  <c:v>3500</c:v>
                </c:pt>
                <c:pt idx="2">
                  <c:v>3500</c:v>
                </c:pt>
                <c:pt idx="3">
                  <c:v>3500</c:v>
                </c:pt>
                <c:pt idx="4">
                  <c:v>3500</c:v>
                </c:pt>
                <c:pt idx="5">
                  <c:v>2000</c:v>
                </c:pt>
                <c:pt idx="6">
                  <c:v>4000</c:v>
                </c:pt>
                <c:pt idx="7">
                  <c:v>3500</c:v>
                </c:pt>
                <c:pt idx="8">
                  <c:v>4250</c:v>
                </c:pt>
                <c:pt idx="9">
                  <c:v>3000</c:v>
                </c:pt>
                <c:pt idx="10">
                  <c:v>2625</c:v>
                </c:pt>
                <c:pt idx="11">
                  <c:v>2666.6666666666665</c:v>
                </c:pt>
                <c:pt idx="12">
                  <c:v>2500</c:v>
                </c:pt>
                <c:pt idx="13">
                  <c:v>2500</c:v>
                </c:pt>
                <c:pt idx="14">
                  <c:v>3500</c:v>
                </c:pt>
                <c:pt idx="15">
                  <c:v>2500</c:v>
                </c:pt>
                <c:pt idx="16">
                  <c:v>3000</c:v>
                </c:pt>
              </c:numCache>
            </c:numRef>
          </c:val>
          <c:smooth val="0"/>
          <c:extLst>
            <c:ext xmlns:c16="http://schemas.microsoft.com/office/drawing/2014/chart" uri="{C3380CC4-5D6E-409C-BE32-E72D297353CC}">
              <c16:uniqueId val="{00000000-5523-40D8-9838-525FD8896D28}"/>
            </c:ext>
          </c:extLst>
        </c:ser>
        <c:ser>
          <c:idx val="1"/>
          <c:order val="1"/>
          <c:tx>
            <c:strRef>
              <c:f>pivottable!$D$25</c:f>
              <c:strCache>
                <c:ptCount val="1"/>
                <c:pt idx="0">
                  <c:v>Average of Total_Salary</c:v>
                </c:pt>
              </c:strCache>
            </c:strRef>
          </c:tx>
          <c:spPr>
            <a:ln w="28575" cap="rnd">
              <a:solidFill>
                <a:schemeClr val="accent2"/>
              </a:solidFill>
              <a:round/>
            </a:ln>
            <a:effectLst/>
          </c:spPr>
          <c:marker>
            <c:symbol val="none"/>
          </c:marker>
          <c:cat>
            <c:strRef>
              <c:f>pivottable!$B$26:$B$43</c:f>
              <c:strCache>
                <c:ptCount val="17"/>
                <c:pt idx="0">
                  <c:v>2005</c:v>
                </c:pt>
                <c:pt idx="1">
                  <c:v>2006</c:v>
                </c:pt>
                <c:pt idx="2">
                  <c:v>2007</c:v>
                </c:pt>
                <c:pt idx="3">
                  <c:v>2008</c:v>
                </c:pt>
                <c:pt idx="4">
                  <c:v>2009</c:v>
                </c:pt>
                <c:pt idx="5">
                  <c:v>2010</c:v>
                </c:pt>
                <c:pt idx="6">
                  <c:v>2013</c:v>
                </c:pt>
                <c:pt idx="7">
                  <c:v>2014</c:v>
                </c:pt>
                <c:pt idx="8">
                  <c:v>2015</c:v>
                </c:pt>
                <c:pt idx="9">
                  <c:v>2016</c:v>
                </c:pt>
                <c:pt idx="10">
                  <c:v>2017</c:v>
                </c:pt>
                <c:pt idx="11">
                  <c:v>2018</c:v>
                </c:pt>
                <c:pt idx="12">
                  <c:v>2019</c:v>
                </c:pt>
                <c:pt idx="13">
                  <c:v>2020</c:v>
                </c:pt>
                <c:pt idx="14">
                  <c:v>2021</c:v>
                </c:pt>
                <c:pt idx="15">
                  <c:v>2022</c:v>
                </c:pt>
                <c:pt idx="16">
                  <c:v>2023</c:v>
                </c:pt>
              </c:strCache>
            </c:strRef>
          </c:cat>
          <c:val>
            <c:numRef>
              <c:f>pivottable!$D$26:$D$43</c:f>
              <c:numCache>
                <c:formatCode>"£"#,##0</c:formatCode>
                <c:ptCount val="17"/>
                <c:pt idx="0">
                  <c:v>4400</c:v>
                </c:pt>
                <c:pt idx="1">
                  <c:v>3850</c:v>
                </c:pt>
                <c:pt idx="2">
                  <c:v>3850</c:v>
                </c:pt>
                <c:pt idx="3">
                  <c:v>3850</c:v>
                </c:pt>
                <c:pt idx="4">
                  <c:v>3850</c:v>
                </c:pt>
                <c:pt idx="5">
                  <c:v>2000</c:v>
                </c:pt>
                <c:pt idx="6">
                  <c:v>4400</c:v>
                </c:pt>
                <c:pt idx="7">
                  <c:v>3850</c:v>
                </c:pt>
                <c:pt idx="8">
                  <c:v>4675</c:v>
                </c:pt>
                <c:pt idx="9">
                  <c:v>3300</c:v>
                </c:pt>
                <c:pt idx="10">
                  <c:v>2887.5</c:v>
                </c:pt>
                <c:pt idx="11">
                  <c:v>2933.3333333333335</c:v>
                </c:pt>
                <c:pt idx="12">
                  <c:v>2750</c:v>
                </c:pt>
                <c:pt idx="13">
                  <c:v>2750</c:v>
                </c:pt>
                <c:pt idx="14">
                  <c:v>3850</c:v>
                </c:pt>
                <c:pt idx="15">
                  <c:v>2750</c:v>
                </c:pt>
                <c:pt idx="16">
                  <c:v>3300</c:v>
                </c:pt>
              </c:numCache>
            </c:numRef>
          </c:val>
          <c:smooth val="0"/>
          <c:extLst>
            <c:ext xmlns:c16="http://schemas.microsoft.com/office/drawing/2014/chart" uri="{C3380CC4-5D6E-409C-BE32-E72D297353CC}">
              <c16:uniqueId val="{00000001-5523-40D8-9838-525FD8896D28}"/>
            </c:ext>
          </c:extLst>
        </c:ser>
        <c:dLbls>
          <c:showLegendKey val="0"/>
          <c:showVal val="0"/>
          <c:showCatName val="0"/>
          <c:showSerName val="0"/>
          <c:showPercent val="0"/>
          <c:showBubbleSize val="0"/>
        </c:dLbls>
        <c:smooth val="0"/>
        <c:axId val="1148172032"/>
        <c:axId val="1148198432"/>
      </c:lineChart>
      <c:catAx>
        <c:axId val="114817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98432"/>
        <c:crosses val="autoZero"/>
        <c:auto val="1"/>
        <c:lblAlgn val="ctr"/>
        <c:lblOffset val="100"/>
        <c:noMultiLvlLbl val="0"/>
      </c:catAx>
      <c:valAx>
        <c:axId val="1148198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72032"/>
        <c:crosses val="autoZero"/>
        <c:crossBetween val="between"/>
      </c:valAx>
      <c:spPr>
        <a:noFill/>
        <a:ln>
          <a:noFill/>
        </a:ln>
        <a:effectLst/>
      </c:spPr>
    </c:plotArea>
    <c:legend>
      <c:legendPos val="r"/>
      <c:layout>
        <c:manualLayout>
          <c:xMode val="edge"/>
          <c:yMode val="edge"/>
          <c:x val="0.75976202974628171"/>
          <c:y val="0.42187445319335082"/>
          <c:w val="0.2235713035870516"/>
          <c:h val="0.27662146398366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Sum of</a:t>
            </a:r>
            <a:r>
              <a:rPr lang="en-GB" baseline="0"/>
              <a:t> </a:t>
            </a:r>
            <a:r>
              <a:rPr lang="en-GB"/>
              <a:t> Salary &amp; Total Salary by Job title  </a:t>
            </a:r>
          </a:p>
        </c:rich>
      </c:tx>
      <c:layout>
        <c:manualLayout>
          <c:xMode val="edge"/>
          <c:yMode val="edge"/>
          <c:x val="0.10986177468257642"/>
          <c:y val="2.791199657612842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3888888888888888E-2"/>
              <c:y val="-4.1666666666666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499999999999989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8.3333333333333332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3333333333333332E-3"/>
              <c:y val="3.240740740740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66666666666666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66666666666661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3.0555555555555555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4444444444444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7777777777777267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046E-3"/>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666666666666614E-2"/>
              <c:y val="-9.2592592592594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3888888888888838E-2"/>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3888888888888838E-2"/>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046E-3"/>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944444444444444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666666666666661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3333333333333332E-3"/>
              <c:y val="3.240740740740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499999999999989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666666666666614E-2"/>
              <c:y val="-9.25925925925942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7777777777777267E-3"/>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3.0555555555555555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666666666666666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8.3333333333333332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3888888888888888E-2"/>
              <c:y val="-4.1666666666666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1.3888888888888838E-2"/>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5.5555555555555046E-3"/>
              <c:y val="2.777777777777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9444444444444445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1.666666666666661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8.3333333333333332E-3"/>
              <c:y val="3.240740740740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499999999999989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1.6666559537200708E-2"/>
              <c:y val="1.37906963757183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1.0941132358455143E-2"/>
              <c:y val="2.954152007594795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3.0555555555555555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1.6666666666666666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8.3333333333333332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3888888888888888E-2"/>
              <c:y val="-4.1666666666666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67913385826769"/>
          <c:y val="0.13019878165857907"/>
          <c:w val="0.47055118110236221"/>
          <c:h val="0.47246050797077027"/>
        </c:manualLayout>
      </c:layout>
      <c:barChart>
        <c:barDir val="bar"/>
        <c:grouping val="clustered"/>
        <c:varyColors val="0"/>
        <c:ser>
          <c:idx val="0"/>
          <c:order val="0"/>
          <c:tx>
            <c:v>Sum of Salary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6"/>
              <c:pt idx="0">
                <c:v>Ai Engineer</c:v>
              </c:pt>
              <c:pt idx="1">
                <c:v>Data Analyst </c:v>
              </c:pt>
              <c:pt idx="2">
                <c:v>Data Engineer </c:v>
              </c:pt>
              <c:pt idx="3">
                <c:v>Data Scientist</c:v>
              </c:pt>
              <c:pt idx="4">
                <c:v>HR  Specialist</c:v>
              </c:pt>
              <c:pt idx="5">
                <c:v>IT specialist </c:v>
              </c:pt>
            </c:strLit>
          </c:cat>
          <c:val>
            <c:numLit>
              <c:formatCode>General</c:formatCode>
              <c:ptCount val="6"/>
              <c:pt idx="0">
                <c:v>4000</c:v>
              </c:pt>
              <c:pt idx="1">
                <c:v>5000</c:v>
              </c:pt>
              <c:pt idx="2">
                <c:v>4000</c:v>
              </c:pt>
              <c:pt idx="3">
                <c:v>1000</c:v>
              </c:pt>
              <c:pt idx="4">
                <c:v>37000</c:v>
              </c:pt>
              <c:pt idx="5">
                <c:v>39500</c:v>
              </c:pt>
            </c:numLit>
          </c:val>
          <c:extLst>
            <c:ext xmlns:c16="http://schemas.microsoft.com/office/drawing/2014/chart" uri="{C3380CC4-5D6E-409C-BE32-E72D297353CC}">
              <c16:uniqueId val="{00000006-A34B-4927-A53C-E7C040DAA844}"/>
            </c:ext>
          </c:extLst>
        </c:ser>
        <c:ser>
          <c:idx val="1"/>
          <c:order val="1"/>
          <c:tx>
            <c:v>Sum of Total_Salary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Lit>
              <c:ptCount val="6"/>
              <c:pt idx="0">
                <c:v>Ai Engineer</c:v>
              </c:pt>
              <c:pt idx="1">
                <c:v>Data Analyst </c:v>
              </c:pt>
              <c:pt idx="2">
                <c:v>Data Engineer </c:v>
              </c:pt>
              <c:pt idx="3">
                <c:v>Data Scientist</c:v>
              </c:pt>
              <c:pt idx="4">
                <c:v>HR  Specialist</c:v>
              </c:pt>
              <c:pt idx="5">
                <c:v>IT specialist </c:v>
              </c:pt>
            </c:strLit>
          </c:cat>
          <c:val>
            <c:numLit>
              <c:formatCode>General</c:formatCode>
              <c:ptCount val="6"/>
              <c:pt idx="0">
                <c:v>4400</c:v>
              </c:pt>
              <c:pt idx="1">
                <c:v>5500</c:v>
              </c:pt>
              <c:pt idx="2">
                <c:v>4400</c:v>
              </c:pt>
              <c:pt idx="3">
                <c:v>1100</c:v>
              </c:pt>
              <c:pt idx="4">
                <c:v>40500</c:v>
              </c:pt>
              <c:pt idx="5">
                <c:v>43450</c:v>
              </c:pt>
            </c:numLit>
          </c:val>
          <c:extLst>
            <c:ext xmlns:c16="http://schemas.microsoft.com/office/drawing/2014/chart" uri="{C3380CC4-5D6E-409C-BE32-E72D297353CC}">
              <c16:uniqueId val="{0000000D-A34B-4927-A53C-E7C040DAA844}"/>
            </c:ext>
          </c:extLst>
        </c:ser>
        <c:dLbls>
          <c:showLegendKey val="0"/>
          <c:showVal val="0"/>
          <c:showCatName val="0"/>
          <c:showSerName val="0"/>
          <c:showPercent val="0"/>
          <c:showBubbleSize val="0"/>
        </c:dLbls>
        <c:gapWidth val="100"/>
        <c:axId val="1148182592"/>
        <c:axId val="1148184512"/>
      </c:barChart>
      <c:catAx>
        <c:axId val="11481825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8184512"/>
        <c:crosses val="autoZero"/>
        <c:auto val="1"/>
        <c:lblAlgn val="ctr"/>
        <c:lblOffset val="100"/>
        <c:noMultiLvlLbl val="0"/>
      </c:catAx>
      <c:valAx>
        <c:axId val="114818451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818259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manualLayout>
          <c:xMode val="edge"/>
          <c:yMode val="edge"/>
          <c:x val="0.81748031496062978"/>
          <c:y val="0.29513815981335673"/>
          <c:w val="0.16585301837270344"/>
          <c:h val="0.34388779527559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Dashboard.xlsx]pivottable!PivotTable4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t>Number of Empolyees by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pivottable!$E$13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B8-4E16-9FEE-F0923FA528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B8-4E16-9FEE-F0923FA528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pivottable!$D$14:$D$16</c:f>
              <c:strCache>
                <c:ptCount val="2"/>
                <c:pt idx="0">
                  <c:v>HR</c:v>
                </c:pt>
                <c:pt idx="1">
                  <c:v>IT</c:v>
                </c:pt>
              </c:strCache>
            </c:strRef>
          </c:cat>
          <c:val>
            <c:numRef>
              <c:f>pivottable!$E$14:$E$16</c:f>
              <c:numCache>
                <c:formatCode>@</c:formatCode>
                <c:ptCount val="2"/>
                <c:pt idx="0">
                  <c:v>14</c:v>
                </c:pt>
                <c:pt idx="1">
                  <c:v>15</c:v>
                </c:pt>
              </c:numCache>
            </c:numRef>
          </c:val>
          <c:extLst>
            <c:ext xmlns:c16="http://schemas.microsoft.com/office/drawing/2014/chart" uri="{C3380CC4-5D6E-409C-BE32-E72D297353CC}">
              <c16:uniqueId val="{00000004-21B8-4E16-9FEE-F0923FA528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Dashboard.xlsx]pivottable!PivotTable3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Sum of Bonus &amp; Average Bonus by Department  </a:t>
            </a:r>
          </a:p>
        </c:rich>
      </c:tx>
      <c:layout>
        <c:manualLayout>
          <c:xMode val="edge"/>
          <c:yMode val="edge"/>
          <c:x val="0.139600434591662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6981627296588"/>
          <c:y val="0.18518518518518517"/>
          <c:w val="0.63484426946631656"/>
          <c:h val="0.70778579760863225"/>
        </c:manualLayout>
      </c:layout>
      <c:barChart>
        <c:barDir val="col"/>
        <c:grouping val="clustered"/>
        <c:varyColors val="0"/>
        <c:ser>
          <c:idx val="0"/>
          <c:order val="0"/>
          <c:tx>
            <c:strRef>
              <c:f>pivottable!$K$7</c:f>
              <c:strCache>
                <c:ptCount val="1"/>
                <c:pt idx="0">
                  <c:v>Sum of Bonus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pivottable!$J$8:$J$10</c:f>
              <c:strCache>
                <c:ptCount val="2"/>
                <c:pt idx="0">
                  <c:v>HR</c:v>
                </c:pt>
                <c:pt idx="1">
                  <c:v>IT</c:v>
                </c:pt>
              </c:strCache>
            </c:strRef>
          </c:cat>
          <c:val>
            <c:numRef>
              <c:f>pivottable!$K$8:$K$10</c:f>
              <c:numCache>
                <c:formatCode>"£"#,##0</c:formatCode>
                <c:ptCount val="2"/>
                <c:pt idx="0">
                  <c:v>3700</c:v>
                </c:pt>
                <c:pt idx="1">
                  <c:v>5350</c:v>
                </c:pt>
              </c:numCache>
            </c:numRef>
          </c:val>
          <c:extLst>
            <c:ext xmlns:c16="http://schemas.microsoft.com/office/drawing/2014/chart" uri="{C3380CC4-5D6E-409C-BE32-E72D297353CC}">
              <c16:uniqueId val="{00000000-9DD3-412C-8A62-467288982736}"/>
            </c:ext>
          </c:extLst>
        </c:ser>
        <c:ser>
          <c:idx val="1"/>
          <c:order val="1"/>
          <c:tx>
            <c:strRef>
              <c:f>pivottable!$L$7</c:f>
              <c:strCache>
                <c:ptCount val="1"/>
                <c:pt idx="0">
                  <c:v>Average of Bonus2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pivottable!$J$8:$J$10</c:f>
              <c:strCache>
                <c:ptCount val="2"/>
                <c:pt idx="0">
                  <c:v>HR</c:v>
                </c:pt>
                <c:pt idx="1">
                  <c:v>IT</c:v>
                </c:pt>
              </c:strCache>
            </c:strRef>
          </c:cat>
          <c:val>
            <c:numRef>
              <c:f>pivottable!$L$8:$L$10</c:f>
              <c:numCache>
                <c:formatCode>"£"#,##0</c:formatCode>
                <c:ptCount val="2"/>
                <c:pt idx="0">
                  <c:v>264.28571428571428</c:v>
                </c:pt>
                <c:pt idx="1">
                  <c:v>356.66666666666669</c:v>
                </c:pt>
              </c:numCache>
            </c:numRef>
          </c:val>
          <c:extLst>
            <c:ext xmlns:c16="http://schemas.microsoft.com/office/drawing/2014/chart" uri="{C3380CC4-5D6E-409C-BE32-E72D297353CC}">
              <c16:uniqueId val="{00000001-9DD3-412C-8A62-467288982736}"/>
            </c:ext>
          </c:extLst>
        </c:ser>
        <c:dLbls>
          <c:dLblPos val="outEnd"/>
          <c:showLegendKey val="0"/>
          <c:showVal val="1"/>
          <c:showCatName val="0"/>
          <c:showSerName val="0"/>
          <c:showPercent val="0"/>
          <c:showBubbleSize val="0"/>
        </c:dLbls>
        <c:gapWidth val="100"/>
        <c:overlap val="-24"/>
        <c:axId val="1231956063"/>
        <c:axId val="1231957023"/>
      </c:barChart>
      <c:catAx>
        <c:axId val="12319560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1957023"/>
        <c:crosses val="autoZero"/>
        <c:auto val="1"/>
        <c:lblAlgn val="ctr"/>
        <c:lblOffset val="100"/>
        <c:noMultiLvlLbl val="0"/>
      </c:catAx>
      <c:valAx>
        <c:axId val="123195702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195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Salary Dashboard.xlsx]pivottable!PivotTable6</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Empolyess Bonus </a:t>
            </a:r>
          </a:p>
        </c:rich>
      </c:tx>
      <c:layout>
        <c:manualLayout>
          <c:xMode val="edge"/>
          <c:yMode val="edge"/>
          <c:x val="0.1847132702599705"/>
          <c:y val="4.166659079312854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2537182852143"/>
          <c:y val="0.18041666666666667"/>
          <c:w val="0.76349759405074369"/>
          <c:h val="0.44897637795275591"/>
        </c:manualLayout>
      </c:layout>
      <c:barChart>
        <c:barDir val="col"/>
        <c:grouping val="clustered"/>
        <c:varyColors val="0"/>
        <c:ser>
          <c:idx val="0"/>
          <c:order val="0"/>
          <c:tx>
            <c:strRef>
              <c:f>pivottable!$N$18</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multiLvlStrRef>
              <c:f>pivottable!$M$19:$M$49</c:f>
              <c:multiLvlStrCache>
                <c:ptCount val="15"/>
                <c:lvl>
                  <c:pt idx="0">
                    <c:v>Mohsen</c:v>
                  </c:pt>
                  <c:pt idx="1">
                    <c:v>Sara</c:v>
                  </c:pt>
                  <c:pt idx="2">
                    <c:v>Ahmed</c:v>
                  </c:pt>
                  <c:pt idx="3">
                    <c:v>Khaled</c:v>
                  </c:pt>
                  <c:pt idx="4">
                    <c:v>Fady</c:v>
                  </c:pt>
                  <c:pt idx="5">
                    <c:v>Samir</c:v>
                  </c:pt>
                  <c:pt idx="6">
                    <c:v>Hassan</c:v>
                  </c:pt>
                  <c:pt idx="7">
                    <c:v>Galal</c:v>
                  </c:pt>
                  <c:pt idx="8">
                    <c:v>Sobhy</c:v>
                  </c:pt>
                  <c:pt idx="9">
                    <c:v>Ayman </c:v>
                  </c:pt>
                  <c:pt idx="10">
                    <c:v>Gomaa</c:v>
                  </c:pt>
                  <c:pt idx="11">
                    <c:v>Omar</c:v>
                  </c:pt>
                  <c:pt idx="12">
                    <c:v>Mousa</c:v>
                  </c:pt>
                  <c:pt idx="13">
                    <c:v>Saleh</c:v>
                  </c:pt>
                  <c:pt idx="14">
                    <c:v>Samer</c:v>
                  </c:pt>
                </c:lvl>
                <c:lvl>
                  <c:pt idx="0">
                    <c:v>S03</c:v>
                  </c:pt>
                  <c:pt idx="1">
                    <c:v>S10</c:v>
                  </c:pt>
                  <c:pt idx="2">
                    <c:v>S02</c:v>
                  </c:pt>
                  <c:pt idx="3">
                    <c:v>S08</c:v>
                  </c:pt>
                  <c:pt idx="4">
                    <c:v>S15</c:v>
                  </c:pt>
                  <c:pt idx="5">
                    <c:v>S19</c:v>
                  </c:pt>
                  <c:pt idx="6">
                    <c:v>S14</c:v>
                  </c:pt>
                  <c:pt idx="7">
                    <c:v>S16</c:v>
                  </c:pt>
                  <c:pt idx="8">
                    <c:v>S06</c:v>
                  </c:pt>
                  <c:pt idx="9">
                    <c:v>S17</c:v>
                  </c:pt>
                  <c:pt idx="10">
                    <c:v>S18</c:v>
                  </c:pt>
                  <c:pt idx="11">
                    <c:v>S11</c:v>
                  </c:pt>
                  <c:pt idx="12">
                    <c:v>S20</c:v>
                  </c:pt>
                  <c:pt idx="13">
                    <c:v>S12</c:v>
                  </c:pt>
                  <c:pt idx="14">
                    <c:v>S13</c:v>
                  </c:pt>
                </c:lvl>
              </c:multiLvlStrCache>
            </c:multiLvlStrRef>
          </c:cat>
          <c:val>
            <c:numRef>
              <c:f>pivottable!$N$19:$N$49</c:f>
              <c:numCache>
                <c:formatCode>"£"#,##0</c:formatCode>
                <c:ptCount val="15"/>
                <c:pt idx="0">
                  <c:v>500</c:v>
                </c:pt>
                <c:pt idx="1">
                  <c:v>450</c:v>
                </c:pt>
                <c:pt idx="2">
                  <c:v>400</c:v>
                </c:pt>
                <c:pt idx="3">
                  <c:v>400</c:v>
                </c:pt>
                <c:pt idx="4">
                  <c:v>350</c:v>
                </c:pt>
                <c:pt idx="5">
                  <c:v>350</c:v>
                </c:pt>
                <c:pt idx="6">
                  <c:v>350</c:v>
                </c:pt>
                <c:pt idx="7">
                  <c:v>350</c:v>
                </c:pt>
                <c:pt idx="8">
                  <c:v>350</c:v>
                </c:pt>
                <c:pt idx="9">
                  <c:v>350</c:v>
                </c:pt>
                <c:pt idx="10">
                  <c:v>350</c:v>
                </c:pt>
                <c:pt idx="11">
                  <c:v>350</c:v>
                </c:pt>
                <c:pt idx="12">
                  <c:v>350</c:v>
                </c:pt>
                <c:pt idx="13">
                  <c:v>350</c:v>
                </c:pt>
                <c:pt idx="14">
                  <c:v>350</c:v>
                </c:pt>
              </c:numCache>
            </c:numRef>
          </c:val>
          <c:extLst>
            <c:ext xmlns:c16="http://schemas.microsoft.com/office/drawing/2014/chart" uri="{C3380CC4-5D6E-409C-BE32-E72D297353CC}">
              <c16:uniqueId val="{00000000-2A07-40A9-8921-E442F0745EAF}"/>
            </c:ext>
          </c:extLst>
        </c:ser>
        <c:dLbls>
          <c:showLegendKey val="0"/>
          <c:showVal val="0"/>
          <c:showCatName val="0"/>
          <c:showSerName val="0"/>
          <c:showPercent val="0"/>
          <c:showBubbleSize val="0"/>
        </c:dLbls>
        <c:gapWidth val="355"/>
        <c:overlap val="-70"/>
        <c:axId val="579327775"/>
        <c:axId val="579337375"/>
      </c:barChart>
      <c:catAx>
        <c:axId val="57932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37375"/>
        <c:crosses val="autoZero"/>
        <c:auto val="1"/>
        <c:lblAlgn val="ctr"/>
        <c:lblOffset val="100"/>
        <c:noMultiLvlLbl val="0"/>
      </c:catAx>
      <c:valAx>
        <c:axId val="57933737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2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Dashboard.xlsx]pivottable!PivotTable7</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Average Bonus per Employess</a:t>
            </a:r>
          </a:p>
          <a:p>
            <a:pPr>
              <a:defRPr/>
            </a:pPr>
            <a:r>
              <a:rPr lang="en-GB"/>
              <a:t>  </a:t>
            </a:r>
          </a:p>
        </c:rich>
      </c:tx>
      <c:layout>
        <c:manualLayout>
          <c:xMode val="edge"/>
          <c:yMode val="edge"/>
          <c:x val="0.18376125990011175"/>
          <c:y val="7.90850499268805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pivottable!$V$22</c:f>
              <c:strCache>
                <c:ptCount val="1"/>
                <c:pt idx="0">
                  <c:v>Average of Bonus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pivottable!$U$23:$U$25</c:f>
              <c:strCache>
                <c:ptCount val="2"/>
                <c:pt idx="0">
                  <c:v>HR</c:v>
                </c:pt>
                <c:pt idx="1">
                  <c:v>IT</c:v>
                </c:pt>
              </c:strCache>
            </c:strRef>
          </c:cat>
          <c:val>
            <c:numRef>
              <c:f>pivottable!$V$23:$V$25</c:f>
              <c:numCache>
                <c:formatCode>"£"#,##0</c:formatCode>
                <c:ptCount val="2"/>
                <c:pt idx="0">
                  <c:v>264.28571428571428</c:v>
                </c:pt>
                <c:pt idx="1">
                  <c:v>356.66666666666669</c:v>
                </c:pt>
              </c:numCache>
            </c:numRef>
          </c:val>
          <c:extLst>
            <c:ext xmlns:c16="http://schemas.microsoft.com/office/drawing/2014/chart" uri="{C3380CC4-5D6E-409C-BE32-E72D297353CC}">
              <c16:uniqueId val="{00000000-4439-412B-AF98-5D097B11FD3D}"/>
            </c:ext>
          </c:extLst>
        </c:ser>
        <c:ser>
          <c:idx val="1"/>
          <c:order val="1"/>
          <c:tx>
            <c:strRef>
              <c:f>pivottable!$W$22</c:f>
              <c:strCache>
                <c:ptCount val="1"/>
                <c:pt idx="0">
                  <c:v>Count of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pivottable!$U$23:$U$25</c:f>
              <c:strCache>
                <c:ptCount val="2"/>
                <c:pt idx="0">
                  <c:v>HR</c:v>
                </c:pt>
                <c:pt idx="1">
                  <c:v>IT</c:v>
                </c:pt>
              </c:strCache>
            </c:strRef>
          </c:cat>
          <c:val>
            <c:numRef>
              <c:f>pivottable!$W$23:$W$25</c:f>
              <c:numCache>
                <c:formatCode>@</c:formatCode>
                <c:ptCount val="2"/>
                <c:pt idx="0">
                  <c:v>14</c:v>
                </c:pt>
                <c:pt idx="1">
                  <c:v>15</c:v>
                </c:pt>
              </c:numCache>
            </c:numRef>
          </c:val>
          <c:extLst>
            <c:ext xmlns:c16="http://schemas.microsoft.com/office/drawing/2014/chart" uri="{C3380CC4-5D6E-409C-BE32-E72D297353CC}">
              <c16:uniqueId val="{00000001-4439-412B-AF98-5D097B11FD3D}"/>
            </c:ext>
          </c:extLst>
        </c:ser>
        <c:dLbls>
          <c:dLblPos val="outEnd"/>
          <c:showLegendKey val="0"/>
          <c:showVal val="1"/>
          <c:showCatName val="0"/>
          <c:showSerName val="0"/>
          <c:showPercent val="0"/>
          <c:showBubbleSize val="0"/>
        </c:dLbls>
        <c:gapWidth val="100"/>
        <c:axId val="918682879"/>
        <c:axId val="918681919"/>
      </c:barChart>
      <c:catAx>
        <c:axId val="9186828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8681919"/>
        <c:crosses val="autoZero"/>
        <c:auto val="1"/>
        <c:lblAlgn val="ctr"/>
        <c:lblOffset val="100"/>
        <c:noMultiLvlLbl val="0"/>
      </c:catAx>
      <c:valAx>
        <c:axId val="918681919"/>
        <c:scaling>
          <c:orientation val="minMax"/>
        </c:scaling>
        <c:delete val="0"/>
        <c:axPos val="b"/>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868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Salary Dashboard.xlsx]pivottable!PivotTable9</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Bonus Distrbution by Employees &amp; Department</a:t>
            </a:r>
          </a:p>
        </c:rich>
      </c:tx>
      <c:layout>
        <c:manualLayout>
          <c:xMode val="edge"/>
          <c:yMode val="edge"/>
          <c:x val="0.12342875241642184"/>
          <c:y val="2.46892391298612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pivottable!$V$34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pivottable!$U$35:$U$43</c:f>
              <c:multiLvlStrCache>
                <c:ptCount val="5"/>
                <c:lvl>
                  <c:pt idx="0">
                    <c:v>IT</c:v>
                  </c:pt>
                  <c:pt idx="1">
                    <c:v>HR</c:v>
                  </c:pt>
                  <c:pt idx="2">
                    <c:v>IT</c:v>
                  </c:pt>
                  <c:pt idx="4">
                    <c:v>IT</c:v>
                  </c:pt>
                </c:lvl>
                <c:lvl>
                  <c:pt idx="0">
                    <c:v>400-500</c:v>
                  </c:pt>
                  <c:pt idx="1">
                    <c:v>300-399</c:v>
                  </c:pt>
                  <c:pt idx="3">
                    <c:v>200-299</c:v>
                  </c:pt>
                  <c:pt idx="4">
                    <c:v>100-199</c:v>
                  </c:pt>
                </c:lvl>
              </c:multiLvlStrCache>
            </c:multiLvlStrRef>
          </c:cat>
          <c:val>
            <c:numRef>
              <c:f>pivottable!$V$35:$V$43</c:f>
              <c:numCache>
                <c:formatCode>General</c:formatCode>
                <c:ptCount val="5"/>
                <c:pt idx="0">
                  <c:v>4</c:v>
                </c:pt>
                <c:pt idx="1">
                  <c:v>4</c:v>
                </c:pt>
                <c:pt idx="2">
                  <c:v>10</c:v>
                </c:pt>
                <c:pt idx="3">
                  <c:v>10</c:v>
                </c:pt>
                <c:pt idx="4">
                  <c:v>1</c:v>
                </c:pt>
              </c:numCache>
            </c:numRef>
          </c:val>
          <c:extLst>
            <c:ext xmlns:c16="http://schemas.microsoft.com/office/drawing/2014/chart" uri="{C3380CC4-5D6E-409C-BE32-E72D297353CC}">
              <c16:uniqueId val="{00000000-6C9D-40A3-B475-6CE285DF9DCB}"/>
            </c:ext>
          </c:extLst>
        </c:ser>
        <c:dLbls>
          <c:showLegendKey val="0"/>
          <c:showVal val="0"/>
          <c:showCatName val="0"/>
          <c:showSerName val="0"/>
          <c:showPercent val="0"/>
          <c:showBubbleSize val="0"/>
        </c:dLbls>
        <c:gapWidth val="100"/>
        <c:overlap val="-24"/>
        <c:axId val="1171357568"/>
        <c:axId val="1171348928"/>
      </c:barChart>
      <c:catAx>
        <c:axId val="11713575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1348928"/>
        <c:crosses val="autoZero"/>
        <c:auto val="1"/>
        <c:lblAlgn val="ctr"/>
        <c:lblOffset val="100"/>
        <c:noMultiLvlLbl val="0"/>
      </c:catAx>
      <c:valAx>
        <c:axId val="11713489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135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 /><Relationship Id="rId3" Type="http://schemas.openxmlformats.org/officeDocument/2006/relationships/chart" Target="../charts/chart3.xml" /><Relationship Id="rId7" Type="http://schemas.openxmlformats.org/officeDocument/2006/relationships/chart" Target="../charts/chart7.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6.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editAs="oneCell">
    <xdr:from>
      <xdr:col>5</xdr:col>
      <xdr:colOff>276225</xdr:colOff>
      <xdr:row>10</xdr:row>
      <xdr:rowOff>104774</xdr:rowOff>
    </xdr:from>
    <xdr:to>
      <xdr:col>7</xdr:col>
      <xdr:colOff>885825</xdr:colOff>
      <xdr:row>17</xdr:row>
      <xdr:rowOff>9525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D4BC5CA-D552-7E32-F71B-F0B9B12759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10125" y="2009774"/>
              <a:ext cx="1828800" cy="12382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502042</xdr:colOff>
      <xdr:row>7</xdr:row>
      <xdr:rowOff>136776</xdr:rowOff>
    </xdr:from>
    <xdr:to>
      <xdr:col>7</xdr:col>
      <xdr:colOff>25364</xdr:colOff>
      <xdr:row>22</xdr:row>
      <xdr:rowOff>29860</xdr:rowOff>
    </xdr:to>
    <xdr:graphicFrame macro="">
      <xdr:nvGraphicFramePr>
        <xdr:cNvPr id="2" name="Chart 1">
          <a:extLst>
            <a:ext uri="{FF2B5EF4-FFF2-40B4-BE49-F238E27FC236}">
              <a16:creationId xmlns:a16="http://schemas.microsoft.com/office/drawing/2014/main" id="{B7706F58-95B2-4E85-B40A-B823CD2E0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460425</xdr:colOff>
      <xdr:row>22</xdr:row>
      <xdr:rowOff>32107</xdr:rowOff>
    </xdr:from>
    <xdr:to>
      <xdr:col>7</xdr:col>
      <xdr:colOff>136072</xdr:colOff>
      <xdr:row>35</xdr:row>
      <xdr:rowOff>85618</xdr:rowOff>
    </xdr:to>
    <xdr:graphicFrame macro="">
      <xdr:nvGraphicFramePr>
        <xdr:cNvPr id="3" name="Chart 2">
          <a:extLst>
            <a:ext uri="{FF2B5EF4-FFF2-40B4-BE49-F238E27FC236}">
              <a16:creationId xmlns:a16="http://schemas.microsoft.com/office/drawing/2014/main" id="{A24191A3-3E93-43D9-8D53-B5B938AFB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53510</xdr:colOff>
      <xdr:row>7</xdr:row>
      <xdr:rowOff>73953</xdr:rowOff>
    </xdr:from>
    <xdr:to>
      <xdr:col>14</xdr:col>
      <xdr:colOff>441467</xdr:colOff>
      <xdr:row>22</xdr:row>
      <xdr:rowOff>149832</xdr:rowOff>
    </xdr:to>
    <xdr:graphicFrame macro="">
      <xdr:nvGraphicFramePr>
        <xdr:cNvPr id="4" name="Chart 3">
          <a:extLst>
            <a:ext uri="{FF2B5EF4-FFF2-40B4-BE49-F238E27FC236}">
              <a16:creationId xmlns:a16="http://schemas.microsoft.com/office/drawing/2014/main" id="{BACC6928-D34A-4075-9B7A-6F0B23382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105539</xdr:colOff>
      <xdr:row>23</xdr:row>
      <xdr:rowOff>158199</xdr:rowOff>
    </xdr:from>
    <xdr:to>
      <xdr:col>25</xdr:col>
      <xdr:colOff>70379</xdr:colOff>
      <xdr:row>37</xdr:row>
      <xdr:rowOff>77237</xdr:rowOff>
    </xdr:to>
    <xdr:graphicFrame macro="">
      <xdr:nvGraphicFramePr>
        <xdr:cNvPr id="5" name="Chart 4">
          <a:extLst>
            <a:ext uri="{FF2B5EF4-FFF2-40B4-BE49-F238E27FC236}">
              <a16:creationId xmlns:a16="http://schemas.microsoft.com/office/drawing/2014/main" id="{37E0BEF6-D368-4B2F-B178-B7788A1C0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374224</xdr:colOff>
      <xdr:row>24</xdr:row>
      <xdr:rowOff>78399</xdr:rowOff>
    </xdr:from>
    <xdr:to>
      <xdr:col>14</xdr:col>
      <xdr:colOff>523685</xdr:colOff>
      <xdr:row>38</xdr:row>
      <xdr:rowOff>83160</xdr:rowOff>
    </xdr:to>
    <xdr:graphicFrame macro="">
      <xdr:nvGraphicFramePr>
        <xdr:cNvPr id="7" name="Chart 6">
          <a:extLst>
            <a:ext uri="{FF2B5EF4-FFF2-40B4-BE49-F238E27FC236}">
              <a16:creationId xmlns:a16="http://schemas.microsoft.com/office/drawing/2014/main" id="{C3A0F6EE-117E-4D85-BACC-68AC82BC9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458746</xdr:colOff>
      <xdr:row>8</xdr:row>
      <xdr:rowOff>24303</xdr:rowOff>
    </xdr:from>
    <xdr:to>
      <xdr:col>22</xdr:col>
      <xdr:colOff>188871</xdr:colOff>
      <xdr:row>22</xdr:row>
      <xdr:rowOff>132408</xdr:rowOff>
    </xdr:to>
    <xdr:graphicFrame macro="">
      <xdr:nvGraphicFramePr>
        <xdr:cNvPr id="6" name="Chart 5">
          <a:extLst>
            <a:ext uri="{FF2B5EF4-FFF2-40B4-BE49-F238E27FC236}">
              <a16:creationId xmlns:a16="http://schemas.microsoft.com/office/drawing/2014/main" id="{0AD20FC9-1EE7-47E0-ADE3-E790A615B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230798</xdr:colOff>
      <xdr:row>8</xdr:row>
      <xdr:rowOff>57310</xdr:rowOff>
    </xdr:from>
    <xdr:to>
      <xdr:col>28</xdr:col>
      <xdr:colOff>251208</xdr:colOff>
      <xdr:row>23</xdr:row>
      <xdr:rowOff>10467</xdr:rowOff>
    </xdr:to>
    <xdr:graphicFrame macro="">
      <xdr:nvGraphicFramePr>
        <xdr:cNvPr id="8" name="Chart 7">
          <a:extLst>
            <a:ext uri="{FF2B5EF4-FFF2-40B4-BE49-F238E27FC236}">
              <a16:creationId xmlns:a16="http://schemas.microsoft.com/office/drawing/2014/main" id="{7CE0A0DF-7EA2-4ED0-A121-D039F2F57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285475</xdr:colOff>
      <xdr:row>8</xdr:row>
      <xdr:rowOff>237</xdr:rowOff>
    </xdr:from>
    <xdr:to>
      <xdr:col>34</xdr:col>
      <xdr:colOff>526175</xdr:colOff>
      <xdr:row>23</xdr:row>
      <xdr:rowOff>85855</xdr:rowOff>
    </xdr:to>
    <xdr:graphicFrame macro="">
      <xdr:nvGraphicFramePr>
        <xdr:cNvPr id="9" name="Chart 8">
          <a:extLst>
            <a:ext uri="{FF2B5EF4-FFF2-40B4-BE49-F238E27FC236}">
              <a16:creationId xmlns:a16="http://schemas.microsoft.com/office/drawing/2014/main" id="{1B3D5A2E-8438-4C66-870D-6DC733562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135482</xdr:colOff>
      <xdr:row>27</xdr:row>
      <xdr:rowOff>94202</xdr:rowOff>
    </xdr:from>
    <xdr:to>
      <xdr:col>18</xdr:col>
      <xdr:colOff>134198</xdr:colOff>
      <xdr:row>34</xdr:row>
      <xdr:rowOff>136072</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AE5CD4CA-7376-4A22-A437-B7FBCEEB59C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241801" y="5181180"/>
              <a:ext cx="1819979" cy="13607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5.424723842596" createdVersion="8" refreshedVersion="8" minRefreshableVersion="3" recordCount="29" xr:uid="{30350FC3-F82E-4492-B3E9-571E9185FC4E}">
  <cacheSource type="worksheet">
    <worksheetSource name="Table2"/>
  </cacheSource>
  <cacheFields count="14">
    <cacheField name="ID" numFmtId="49">
      <sharedItems count="29">
        <s v="S01"/>
        <s v="S02"/>
        <s v="S03"/>
        <s v="S04"/>
        <s v="S05"/>
        <s v="S06"/>
        <s v="S07"/>
        <s v="S08"/>
        <s v="S09"/>
        <s v="S10"/>
        <s v="S11"/>
        <s v="S12"/>
        <s v="S13"/>
        <s v="S14"/>
        <s v="S15"/>
        <s v="S16"/>
        <s v="S17"/>
        <s v="S18"/>
        <s v="S19"/>
        <s v="S20"/>
        <s v="S21"/>
        <s v="S22"/>
        <s v="S23"/>
        <s v="S24"/>
        <s v="S25"/>
        <s v="S26"/>
        <s v="S27"/>
        <s v="S28"/>
        <s v="S29"/>
      </sharedItems>
    </cacheField>
    <cacheField name="firstname" numFmtId="0">
      <sharedItems count="28">
        <s v="Mohamed"/>
        <s v="Ahmed"/>
        <s v="Mohsen"/>
        <s v="Nezar"/>
        <s v="Ali"/>
        <s v="Sobhy"/>
        <s v="Aziz"/>
        <s v="Khaled"/>
        <s v="Mena"/>
        <s v="Sara"/>
        <s v="Omar"/>
        <s v="Saleh"/>
        <s v="Samer"/>
        <s v="Hassan"/>
        <s v="Fady"/>
        <s v="Galal"/>
        <s v="Ayman "/>
        <s v="Gomaa"/>
        <s v="Samir"/>
        <s v="Mousa"/>
        <s v="Salah"/>
        <s v="Seraj "/>
        <s v="Dina"/>
        <s v="Samira"/>
        <s v="Dalia "/>
        <s v="Hana"/>
        <s v="Hanady"/>
        <s v="Vero"/>
      </sharedItems>
    </cacheField>
    <cacheField name="Lastname" numFmtId="49">
      <sharedItems/>
    </cacheField>
    <cacheField name="Salary" numFmtId="164">
      <sharedItems containsSemiMixedTypes="0" containsString="0" containsNumber="1" containsInteger="1" minValue="1000" maxValue="5000"/>
    </cacheField>
    <cacheField name="Department" numFmtId="0">
      <sharedItems count="2">
        <s v="HR"/>
        <s v="IT"/>
      </sharedItems>
    </cacheField>
    <cacheField name="Start_date" numFmtId="14">
      <sharedItems containsSemiMixedTypes="0" containsNonDate="0" containsDate="1" containsString="0" minDate="2005-04-17T00:00:00" maxDate="2023-07-29T00:00:00" count="47">
        <d v="2010-08-12T00:00:00"/>
        <d v="2013-11-25T00:00:00"/>
        <d v="2015-02-06T00:00:00"/>
        <d v="2017-02-10T00:00:00"/>
        <d v="2019-02-28T00:00:00"/>
        <d v="2016-08-12T00:00:00"/>
        <d v="2020-11-03T00:00:00"/>
        <d v="2020-09-30T00:00:00"/>
        <d v="2018-08-12T00:00:00"/>
        <d v="2005-04-17T00:00:00"/>
        <d v="2005-07-18T00:00:00"/>
        <d v="2006-04-19T00:00:00"/>
        <d v="2007-04-20T00:00:00"/>
        <d v="2006-03-21T00:00:00"/>
        <d v="2008-06-22T00:00:00"/>
        <d v="2008-10-23T00:00:00"/>
        <d v="2009-04-24T00:00:00"/>
        <d v="2015-05-25T00:00:00"/>
        <d v="2014-04-26T00:00:00"/>
        <d v="2021-06-27T00:00:00"/>
        <d v="2023-07-28T00:00:00"/>
        <d v="2022-04-29T00:00:00"/>
        <d v="2016-12-30T00:00:00"/>
        <d v="2017-01-01T00:00:00"/>
        <d v="2017-09-02T00:00:00"/>
        <d v="2017-05-03T00:00:00"/>
        <d v="2018-05-04T00:00:00"/>
        <d v="2018-05-05T00:00:00"/>
        <d v="2019-05-06T00:00:00"/>
        <d v="2005-04-18T00:00:00" u="1"/>
        <d v="2005-04-19T00:00:00" u="1"/>
        <d v="2005-04-20T00:00:00" u="1"/>
        <d v="2005-04-21T00:00:00" u="1"/>
        <d v="2005-04-22T00:00:00" u="1"/>
        <d v="2005-04-23T00:00:00" u="1"/>
        <d v="2006-04-24T00:00:00" u="1"/>
        <d v="2007-04-25T00:00:00" u="1"/>
        <d v="2005-04-26T00:00:00" u="1"/>
        <d v="2005-04-27T00:00:00" u="1"/>
        <d v="2005-04-28T00:00:00" u="1"/>
        <d v="2005-04-29T00:00:00" u="1"/>
        <d v="2008-04-30T00:00:00" u="1"/>
        <d v="2015-05-01T00:00:00" u="1"/>
        <d v="2009-05-02T00:00:00" u="1"/>
        <d v="2007-05-04T00:00:00" u="1"/>
        <d v="2006-05-05T00:00:00" u="1"/>
        <d v="2010-05-06T00:00:00" u="1"/>
      </sharedItems>
      <fieldGroup par="13"/>
    </cacheField>
    <cacheField name="Job_title" numFmtId="49">
      <sharedItems count="6">
        <s v="HR  Specialist"/>
        <s v="Data Engineer "/>
        <s v="Data Analyst "/>
        <s v="Data Scientist"/>
        <s v="Ai Engineer"/>
        <s v="IT specialist "/>
      </sharedItems>
    </cacheField>
    <cacheField name="Gender" numFmtId="49">
      <sharedItems count="2">
        <s v="Male"/>
        <s v="Female"/>
      </sharedItems>
    </cacheField>
    <cacheField name="Bonus" numFmtId="164">
      <sharedItems containsSemiMixedTypes="0" containsString="0" containsNumber="1" containsInteger="1" minValue="100" maxValue="500" count="8">
        <n v="200"/>
        <n v="400"/>
        <n v="500"/>
        <n v="300"/>
        <n v="250"/>
        <n v="350"/>
        <n v="100"/>
        <n v="450"/>
      </sharedItems>
      <fieldGroup base="8">
        <rangePr startNum="100" endNum="500" groupInterval="100"/>
        <groupItems count="6">
          <s v="&lt;100"/>
          <s v="100-199"/>
          <s v="200-299"/>
          <s v="300-399"/>
          <s v="400-500"/>
          <s v="&gt;500"/>
        </groupItems>
      </fieldGroup>
    </cacheField>
    <cacheField name="Total_Salary" numFmtId="164">
      <sharedItems containsSemiMixedTypes="0" containsString="0" containsNumber="1" containsInteger="1" minValue="1100" maxValue="5500"/>
    </cacheField>
    <cacheField name="City" numFmtId="49">
      <sharedItems count="5">
        <s v="Cairo"/>
        <s v="Alex"/>
        <s v="Benha"/>
        <s v="Luxor"/>
        <s v="Mansoura"/>
      </sharedItems>
    </cacheField>
    <cacheField name="Months (Start_date)" numFmtId="0" databaseField="0">
      <fieldGroup base="5">
        <rangePr groupBy="months" startDate="2005-04-17T00:00:00" endDate="2023-07-29T00:00:00"/>
        <groupItems count="14">
          <s v="&lt;17/04/2005"/>
          <s v="Jan"/>
          <s v="Feb"/>
          <s v="Mar"/>
          <s v="Apr"/>
          <s v="May"/>
          <s v="Jun"/>
          <s v="Jul"/>
          <s v="Aug"/>
          <s v="Sep"/>
          <s v="Oct"/>
          <s v="Nov"/>
          <s v="Dec"/>
          <s v="&gt;29/07/2023"/>
        </groupItems>
      </fieldGroup>
    </cacheField>
    <cacheField name="Quarters (Start_date)" numFmtId="0" databaseField="0">
      <fieldGroup base="5">
        <rangePr groupBy="quarters" startDate="2005-04-17T00:00:00" endDate="2023-07-29T00:00:00"/>
        <groupItems count="6">
          <s v="&lt;17/04/2005"/>
          <s v="Qtr1"/>
          <s v="Qtr2"/>
          <s v="Qtr3"/>
          <s v="Qtr4"/>
          <s v="&gt;29/07/2023"/>
        </groupItems>
      </fieldGroup>
    </cacheField>
    <cacheField name="Years (Start_date)" numFmtId="0" databaseField="0">
      <fieldGroup base="5">
        <rangePr groupBy="years" startDate="2005-04-17T00:00:00" endDate="2023-07-29T00:00:00"/>
        <groupItems count="21">
          <s v="&lt;17/04/2005"/>
          <s v="2005"/>
          <s v="2006"/>
          <s v="2007"/>
          <s v="2008"/>
          <s v="2009"/>
          <s v="2010"/>
          <s v="2011"/>
          <s v="2012"/>
          <s v="2013"/>
          <s v="2014"/>
          <s v="2015"/>
          <s v="2016"/>
          <s v="2017"/>
          <s v="2018"/>
          <s v="2019"/>
          <s v="2020"/>
          <s v="2021"/>
          <s v="2022"/>
          <s v="2023"/>
          <s v="&gt;29/07/2023"/>
        </groupItems>
      </fieldGroup>
    </cacheField>
  </cacheFields>
  <extLst>
    <ext xmlns:x14="http://schemas.microsoft.com/office/spreadsheetml/2009/9/main" uri="{725AE2AE-9491-48be-B2B4-4EB974FC3084}">
      <x14:pivotCacheDefinition pivotCacheId="1737431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x v="0"/>
    <s v="Ali"/>
    <n v="2000"/>
    <x v="0"/>
    <x v="0"/>
    <x v="0"/>
    <x v="0"/>
    <x v="0"/>
    <n v="2000"/>
    <x v="0"/>
  </r>
  <r>
    <x v="1"/>
    <x v="1"/>
    <s v="Mohamed"/>
    <n v="4000"/>
    <x v="1"/>
    <x v="1"/>
    <x v="1"/>
    <x v="0"/>
    <x v="1"/>
    <n v="4400"/>
    <x v="1"/>
  </r>
  <r>
    <x v="2"/>
    <x v="2"/>
    <s v="Ahmed"/>
    <n v="5000"/>
    <x v="1"/>
    <x v="2"/>
    <x v="2"/>
    <x v="0"/>
    <x v="2"/>
    <n v="5500"/>
    <x v="2"/>
  </r>
  <r>
    <x v="3"/>
    <x v="3"/>
    <s v="Mohsen"/>
    <n v="3000"/>
    <x v="0"/>
    <x v="3"/>
    <x v="0"/>
    <x v="0"/>
    <x v="3"/>
    <n v="3300"/>
    <x v="0"/>
  </r>
  <r>
    <x v="4"/>
    <x v="4"/>
    <s v="Nezar"/>
    <n v="2500"/>
    <x v="0"/>
    <x v="4"/>
    <x v="0"/>
    <x v="0"/>
    <x v="4"/>
    <n v="2750"/>
    <x v="3"/>
  </r>
  <r>
    <x v="5"/>
    <x v="5"/>
    <s v="Ali"/>
    <n v="3500"/>
    <x v="0"/>
    <x v="5"/>
    <x v="0"/>
    <x v="0"/>
    <x v="5"/>
    <n v="3850"/>
    <x v="4"/>
  </r>
  <r>
    <x v="6"/>
    <x v="6"/>
    <s v="Sobhy"/>
    <n v="1000"/>
    <x v="1"/>
    <x v="6"/>
    <x v="3"/>
    <x v="0"/>
    <x v="6"/>
    <n v="1100"/>
    <x v="1"/>
  </r>
  <r>
    <x v="7"/>
    <x v="7"/>
    <s v="Aziz"/>
    <n v="4000"/>
    <x v="1"/>
    <x v="7"/>
    <x v="4"/>
    <x v="0"/>
    <x v="1"/>
    <n v="4400"/>
    <x v="0"/>
  </r>
  <r>
    <x v="8"/>
    <x v="8"/>
    <s v="khaled"/>
    <n v="3000"/>
    <x v="0"/>
    <x v="8"/>
    <x v="0"/>
    <x v="1"/>
    <x v="3"/>
    <n v="3300"/>
    <x v="0"/>
  </r>
  <r>
    <x v="9"/>
    <x v="9"/>
    <s v="Hani"/>
    <n v="4500"/>
    <x v="1"/>
    <x v="9"/>
    <x v="5"/>
    <x v="1"/>
    <x v="7"/>
    <n v="4950"/>
    <x v="0"/>
  </r>
  <r>
    <x v="10"/>
    <x v="10"/>
    <s v="Ayman"/>
    <n v="3500"/>
    <x v="1"/>
    <x v="10"/>
    <x v="5"/>
    <x v="0"/>
    <x v="5"/>
    <n v="3850"/>
    <x v="1"/>
  </r>
  <r>
    <x v="11"/>
    <x v="11"/>
    <s v="Seif"/>
    <n v="3500"/>
    <x v="1"/>
    <x v="11"/>
    <x v="5"/>
    <x v="0"/>
    <x v="5"/>
    <n v="3850"/>
    <x v="1"/>
  </r>
  <r>
    <x v="12"/>
    <x v="12"/>
    <s v="Gazzal"/>
    <n v="3500"/>
    <x v="1"/>
    <x v="12"/>
    <x v="5"/>
    <x v="0"/>
    <x v="5"/>
    <n v="3850"/>
    <x v="1"/>
  </r>
  <r>
    <x v="13"/>
    <x v="13"/>
    <s v="Salah"/>
    <n v="3500"/>
    <x v="1"/>
    <x v="13"/>
    <x v="5"/>
    <x v="0"/>
    <x v="5"/>
    <n v="3850"/>
    <x v="1"/>
  </r>
  <r>
    <x v="14"/>
    <x v="14"/>
    <s v="Helal"/>
    <n v="3500"/>
    <x v="1"/>
    <x v="14"/>
    <x v="5"/>
    <x v="0"/>
    <x v="5"/>
    <n v="3850"/>
    <x v="1"/>
  </r>
  <r>
    <x v="15"/>
    <x v="15"/>
    <s v="Mugahed"/>
    <n v="3500"/>
    <x v="1"/>
    <x v="15"/>
    <x v="5"/>
    <x v="0"/>
    <x v="5"/>
    <n v="3850"/>
    <x v="1"/>
  </r>
  <r>
    <x v="16"/>
    <x v="16"/>
    <s v="Taha"/>
    <n v="3500"/>
    <x v="1"/>
    <x v="16"/>
    <x v="5"/>
    <x v="0"/>
    <x v="5"/>
    <n v="3850"/>
    <x v="1"/>
  </r>
  <r>
    <x v="17"/>
    <x v="17"/>
    <s v="Ali"/>
    <n v="3500"/>
    <x v="1"/>
    <x v="17"/>
    <x v="5"/>
    <x v="0"/>
    <x v="5"/>
    <n v="3850"/>
    <x v="1"/>
  </r>
  <r>
    <x v="18"/>
    <x v="18"/>
    <s v="Hassan"/>
    <n v="3500"/>
    <x v="1"/>
    <x v="18"/>
    <x v="5"/>
    <x v="0"/>
    <x v="5"/>
    <n v="3850"/>
    <x v="2"/>
  </r>
  <r>
    <x v="19"/>
    <x v="19"/>
    <s v="Ibrahim"/>
    <n v="3500"/>
    <x v="1"/>
    <x v="19"/>
    <x v="5"/>
    <x v="0"/>
    <x v="5"/>
    <n v="3850"/>
    <x v="2"/>
  </r>
  <r>
    <x v="20"/>
    <x v="20"/>
    <s v="Amr"/>
    <n v="3000"/>
    <x v="0"/>
    <x v="20"/>
    <x v="0"/>
    <x v="0"/>
    <x v="3"/>
    <n v="3300"/>
    <x v="2"/>
  </r>
  <r>
    <x v="21"/>
    <x v="21"/>
    <s v="Megoo"/>
    <n v="2500"/>
    <x v="0"/>
    <x v="21"/>
    <x v="0"/>
    <x v="0"/>
    <x v="4"/>
    <n v="2750"/>
    <x v="2"/>
  </r>
  <r>
    <x v="22"/>
    <x v="22"/>
    <s v="Gamal"/>
    <n v="2500"/>
    <x v="0"/>
    <x v="22"/>
    <x v="0"/>
    <x v="1"/>
    <x v="4"/>
    <n v="2750"/>
    <x v="2"/>
  </r>
  <r>
    <x v="23"/>
    <x v="9"/>
    <s v="Tarek"/>
    <n v="2500"/>
    <x v="0"/>
    <x v="23"/>
    <x v="0"/>
    <x v="1"/>
    <x v="4"/>
    <n v="2750"/>
    <x v="3"/>
  </r>
  <r>
    <x v="24"/>
    <x v="23"/>
    <s v="kassab"/>
    <n v="2500"/>
    <x v="0"/>
    <x v="24"/>
    <x v="0"/>
    <x v="1"/>
    <x v="4"/>
    <n v="2750"/>
    <x v="3"/>
  </r>
  <r>
    <x v="25"/>
    <x v="24"/>
    <s v="Tomy"/>
    <n v="2500"/>
    <x v="0"/>
    <x v="25"/>
    <x v="0"/>
    <x v="1"/>
    <x v="4"/>
    <n v="2750"/>
    <x v="0"/>
  </r>
  <r>
    <x v="26"/>
    <x v="25"/>
    <s v="Waly"/>
    <n v="2500"/>
    <x v="0"/>
    <x v="26"/>
    <x v="0"/>
    <x v="1"/>
    <x v="4"/>
    <n v="2750"/>
    <x v="0"/>
  </r>
  <r>
    <x v="27"/>
    <x v="26"/>
    <s v="Mansour"/>
    <n v="2500"/>
    <x v="0"/>
    <x v="27"/>
    <x v="0"/>
    <x v="1"/>
    <x v="4"/>
    <n v="2750"/>
    <x v="0"/>
  </r>
  <r>
    <x v="28"/>
    <x v="27"/>
    <s v="Sameh"/>
    <n v="2500"/>
    <x v="0"/>
    <x v="28"/>
    <x v="0"/>
    <x v="1"/>
    <x v="4"/>
    <n v="275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8B11B-A1BA-4795-BF7F-FDA70543ADE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5:D43" firstHeaderRow="0" firstDataRow="1" firstDataCol="1"/>
  <pivotFields count="14">
    <pivotField showAll="0"/>
    <pivotField showAll="0"/>
    <pivotField showAll="0"/>
    <pivotField dataField="1" numFmtId="1" showAll="0"/>
    <pivotField showAll="0"/>
    <pivotField numFmtId="14" showAll="0">
      <items count="48">
        <item x="0"/>
        <item x="1"/>
        <item x="2"/>
        <item x="5"/>
        <item x="3"/>
        <item x="8"/>
        <item x="4"/>
        <item x="7"/>
        <item x="6"/>
        <item x="9"/>
        <item m="1" x="29"/>
        <item m="1" x="30"/>
        <item m="1" x="31"/>
        <item m="1" x="32"/>
        <item m="1" x="33"/>
        <item m="1" x="34"/>
        <item m="1" x="35"/>
        <item m="1" x="36"/>
        <item m="1" x="37"/>
        <item m="1" x="38"/>
        <item m="1" x="39"/>
        <item m="1" x="40"/>
        <item m="1" x="41"/>
        <item m="1" x="42"/>
        <item m="1" x="43"/>
        <item x="25"/>
        <item m="1" x="44"/>
        <item m="1" x="45"/>
        <item m="1" x="46"/>
        <item x="10"/>
        <item x="11"/>
        <item x="12"/>
        <item x="13"/>
        <item x="14"/>
        <item x="15"/>
        <item x="16"/>
        <item x="17"/>
        <item x="18"/>
        <item x="19"/>
        <item x="20"/>
        <item x="21"/>
        <item x="22"/>
        <item x="23"/>
        <item x="24"/>
        <item x="26"/>
        <item x="27"/>
        <item x="28"/>
        <item t="default"/>
      </items>
    </pivotField>
    <pivotField showAll="0"/>
    <pivotField showAll="0"/>
    <pivotField showAll="0"/>
    <pivotField dataField="1" numFmtId="1" showAll="0"/>
    <pivotField showAll="0"/>
    <pivotField showAll="0">
      <items count="15">
        <item x="0"/>
        <item x="1"/>
        <item sd="0" x="2"/>
        <item x="3"/>
        <item x="4"/>
        <item x="5"/>
        <item x="6"/>
        <item x="7"/>
        <item x="8"/>
        <item x="9"/>
        <item x="10"/>
        <item x="11"/>
        <item x="12"/>
        <item x="13"/>
        <item t="default"/>
      </items>
    </pivotField>
    <pivotField showAll="0">
      <items count="7">
        <item sd="0" x="1"/>
        <item sd="0" x="2"/>
        <item sd="0" x="3"/>
        <item sd="0" x="4"/>
        <item x="0"/>
        <item x="5"/>
        <item t="default"/>
      </items>
    </pivotField>
    <pivotField axis="axisRow" showAll="0" sortType="ascending">
      <items count="22">
        <item sd="0" x="0"/>
        <item x="20"/>
        <item sd="0" x="1"/>
        <item sd="0" x="2"/>
        <item sd="0" x="3"/>
        <item sd="0" x="4"/>
        <item sd="0" x="5"/>
        <item sd="0" x="6"/>
        <item sd="0" x="7"/>
        <item sd="0" x="8"/>
        <item sd="0" x="9"/>
        <item sd="0" x="10"/>
        <item sd="0" x="11"/>
        <item sd="0" x="12"/>
        <item sd="0" x="13"/>
        <item sd="0" x="14"/>
        <item sd="0" x="15"/>
        <item sd="0" x="16"/>
        <item x="17"/>
        <item x="18"/>
        <item x="19"/>
        <item t="default" sd="0"/>
      </items>
    </pivotField>
  </pivotFields>
  <rowFields count="1">
    <field x="13"/>
  </rowFields>
  <rowItems count="18">
    <i>
      <x v="2"/>
    </i>
    <i>
      <x v="3"/>
    </i>
    <i>
      <x v="4"/>
    </i>
    <i>
      <x v="5"/>
    </i>
    <i>
      <x v="6"/>
    </i>
    <i>
      <x v="7"/>
    </i>
    <i>
      <x v="10"/>
    </i>
    <i>
      <x v="11"/>
    </i>
    <i>
      <x v="12"/>
    </i>
    <i>
      <x v="13"/>
    </i>
    <i>
      <x v="14"/>
    </i>
    <i>
      <x v="15"/>
    </i>
    <i>
      <x v="16"/>
    </i>
    <i>
      <x v="17"/>
    </i>
    <i>
      <x v="18"/>
    </i>
    <i>
      <x v="19"/>
    </i>
    <i>
      <x v="20"/>
    </i>
    <i t="grand">
      <x/>
    </i>
  </rowItems>
  <colFields count="1">
    <field x="-2"/>
  </colFields>
  <colItems count="2">
    <i>
      <x/>
    </i>
    <i i="1">
      <x v="1"/>
    </i>
  </colItems>
  <dataFields count="2">
    <dataField name="Average of Salary" fld="3" subtotal="average" baseField="5" baseItem="0" numFmtId="164"/>
    <dataField name="Average of Total_Salary" fld="9" subtotal="average" baseField="5" baseItem="0" numFmtId="164"/>
  </dataFields>
  <formats count="2">
    <format dxfId="14">
      <pivotArea field="13" type="button" dataOnly="0" labelOnly="1" outline="0" axis="axisRow" fieldPosition="0"/>
    </format>
    <format dxfId="13">
      <pivotArea dataOnly="0" labelOnly="1" grandRow="1" outline="0" fieldPosition="0"/>
    </format>
  </format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376E8-2FCE-4FF5-88B3-BDD8BA5565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3:J40" firstHeaderRow="0" firstDataRow="1" firstDataCol="1"/>
  <pivotFields count="14">
    <pivotField showAll="0"/>
    <pivotField showAll="0"/>
    <pivotField showAll="0"/>
    <pivotField dataField="1" numFmtId="1" showAll="0"/>
    <pivotField showAll="0"/>
    <pivotField numFmtId="14" showAll="0">
      <items count="48">
        <item x="0"/>
        <item x="1"/>
        <item x="2"/>
        <item x="5"/>
        <item x="3"/>
        <item x="8"/>
        <item x="4"/>
        <item x="7"/>
        <item x="6"/>
        <item x="9"/>
        <item m="1" x="29"/>
        <item m="1" x="30"/>
        <item m="1" x="31"/>
        <item m="1" x="32"/>
        <item m="1" x="33"/>
        <item m="1" x="34"/>
        <item m="1" x="35"/>
        <item m="1" x="36"/>
        <item m="1" x="37"/>
        <item m="1" x="38"/>
        <item m="1" x="39"/>
        <item m="1" x="40"/>
        <item m="1" x="41"/>
        <item m="1" x="42"/>
        <item m="1" x="43"/>
        <item x="25"/>
        <item m="1" x="44"/>
        <item m="1" x="45"/>
        <item m="1" x="46"/>
        <item x="10"/>
        <item x="11"/>
        <item x="12"/>
        <item x="13"/>
        <item x="14"/>
        <item x="15"/>
        <item x="16"/>
        <item x="17"/>
        <item x="18"/>
        <item x="19"/>
        <item x="20"/>
        <item x="21"/>
        <item x="22"/>
        <item x="23"/>
        <item x="24"/>
        <item x="26"/>
        <item x="27"/>
        <item x="28"/>
        <item t="default"/>
      </items>
    </pivotField>
    <pivotField axis="axisRow" showAll="0">
      <items count="7">
        <item x="4"/>
        <item x="2"/>
        <item x="1"/>
        <item x="3"/>
        <item x="0"/>
        <item x="5"/>
        <item t="default"/>
      </items>
    </pivotField>
    <pivotField showAll="0"/>
    <pivotField showAll="0"/>
    <pivotField dataField="1" numFmtId="1" showAll="0"/>
    <pivotField showAll="0"/>
    <pivotField showAll="0" defaultSubtotal="0"/>
    <pivotField showAll="0" defaultSubtotal="0"/>
    <pivotField showAll="0" defaultSubtotal="0">
      <items count="21">
        <item x="6"/>
        <item x="7"/>
        <item x="8"/>
        <item x="9"/>
        <item x="10"/>
        <item x="11"/>
        <item x="12"/>
        <item x="13"/>
        <item x="14"/>
        <item x="15"/>
        <item x="16"/>
        <item x="0"/>
        <item x="1"/>
        <item x="2"/>
        <item x="3"/>
        <item x="4"/>
        <item x="5"/>
        <item x="17"/>
        <item x="18"/>
        <item x="19"/>
        <item x="20"/>
      </items>
    </pivotField>
  </pivotFields>
  <rowFields count="1">
    <field x="6"/>
  </rowFields>
  <rowItems count="7">
    <i>
      <x/>
    </i>
    <i>
      <x v="1"/>
    </i>
    <i>
      <x v="2"/>
    </i>
    <i>
      <x v="3"/>
    </i>
    <i>
      <x v="4"/>
    </i>
    <i>
      <x v="5"/>
    </i>
    <i t="grand">
      <x/>
    </i>
  </rowItems>
  <colFields count="1">
    <field x="-2"/>
  </colFields>
  <colItems count="2">
    <i>
      <x/>
    </i>
    <i i="1">
      <x v="1"/>
    </i>
  </colItems>
  <dataFields count="2">
    <dataField name="Sum of Salary" fld="3" baseField="0" baseItem="1" numFmtId="164"/>
    <dataField name="Sum of Total_Salary" fld="9" baseField="0" baseItem="1" numFmtId="164"/>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1"/>
          </reference>
          <reference field="6" count="1" selected="0">
            <x v="5"/>
          </reference>
        </references>
      </pivotArea>
    </chartFormat>
    <chartFormat chart="11" format="3">
      <pivotArea type="data" outline="0" fieldPosition="0">
        <references count="2">
          <reference field="4294967294" count="1" selected="0">
            <x v="0"/>
          </reference>
          <reference field="6" count="1" selected="0">
            <x v="5"/>
          </reference>
        </references>
      </pivotArea>
    </chartFormat>
    <chartFormat chart="11" format="4">
      <pivotArea type="data" outline="0" fieldPosition="0">
        <references count="2">
          <reference field="4294967294" count="1" selected="0">
            <x v="1"/>
          </reference>
          <reference field="6" count="1" selected="0">
            <x v="4"/>
          </reference>
        </references>
      </pivotArea>
    </chartFormat>
    <chartFormat chart="11" format="5">
      <pivotArea type="data" outline="0" fieldPosition="0">
        <references count="2">
          <reference field="4294967294" count="1" selected="0">
            <x v="0"/>
          </reference>
          <reference field="6" count="1" selected="0">
            <x v="4"/>
          </reference>
        </references>
      </pivotArea>
    </chartFormat>
    <chartFormat chart="11" format="6">
      <pivotArea type="data" outline="0" fieldPosition="0">
        <references count="2">
          <reference field="4294967294" count="1" selected="0">
            <x v="1"/>
          </reference>
          <reference field="6" count="1" selected="0">
            <x v="3"/>
          </reference>
        </references>
      </pivotArea>
    </chartFormat>
    <chartFormat chart="11" format="7">
      <pivotArea type="data" outline="0" fieldPosition="0">
        <references count="2">
          <reference field="4294967294" count="1" selected="0">
            <x v="0"/>
          </reference>
          <reference field="6" count="1" selected="0">
            <x v="3"/>
          </reference>
        </references>
      </pivotArea>
    </chartFormat>
    <chartFormat chart="11" format="8">
      <pivotArea type="data" outline="0" fieldPosition="0">
        <references count="2">
          <reference field="4294967294" count="1" selected="0">
            <x v="1"/>
          </reference>
          <reference field="6" count="1" selected="0">
            <x v="2"/>
          </reference>
        </references>
      </pivotArea>
    </chartFormat>
    <chartFormat chart="11" format="9">
      <pivotArea type="data" outline="0" fieldPosition="0">
        <references count="2">
          <reference field="4294967294" count="1" selected="0">
            <x v="0"/>
          </reference>
          <reference field="6" count="1" selected="0">
            <x v="2"/>
          </reference>
        </references>
      </pivotArea>
    </chartFormat>
    <chartFormat chart="11" format="10">
      <pivotArea type="data" outline="0" fieldPosition="0">
        <references count="2">
          <reference field="4294967294" count="1" selected="0">
            <x v="1"/>
          </reference>
          <reference field="6" count="1" selected="0">
            <x v="1"/>
          </reference>
        </references>
      </pivotArea>
    </chartFormat>
    <chartFormat chart="11" format="11">
      <pivotArea type="data" outline="0" fieldPosition="0">
        <references count="2">
          <reference field="4294967294" count="1" selected="0">
            <x v="0"/>
          </reference>
          <reference field="6" count="1" selected="0">
            <x v="1"/>
          </reference>
        </references>
      </pivotArea>
    </chartFormat>
    <chartFormat chart="11" format="12">
      <pivotArea type="data" outline="0" fieldPosition="0">
        <references count="2">
          <reference field="4294967294" count="1" selected="0">
            <x v="1"/>
          </reference>
          <reference field="6" count="1" selected="0">
            <x v="0"/>
          </reference>
        </references>
      </pivotArea>
    </chartFormat>
    <chartFormat chart="11" format="13">
      <pivotArea type="data" outline="0" fieldPosition="0">
        <references count="2">
          <reference field="4294967294" count="1" selected="0">
            <x v="0"/>
          </reference>
          <reference field="6" count="1" selected="0">
            <x v="0"/>
          </reference>
        </references>
      </pivotArea>
    </chartFormat>
    <chartFormat chart="15" format="28" series="1">
      <pivotArea type="data" outline="0" fieldPosition="0">
        <references count="1">
          <reference field="4294967294" count="1" selected="0">
            <x v="0"/>
          </reference>
        </references>
      </pivotArea>
    </chartFormat>
    <chartFormat chart="15" format="29">
      <pivotArea type="data" outline="0" fieldPosition="0">
        <references count="2">
          <reference field="4294967294" count="1" selected="0">
            <x v="0"/>
          </reference>
          <reference field="6" count="1" selected="0">
            <x v="0"/>
          </reference>
        </references>
      </pivotArea>
    </chartFormat>
    <chartFormat chart="15" format="30">
      <pivotArea type="data" outline="0" fieldPosition="0">
        <references count="2">
          <reference field="4294967294" count="1" selected="0">
            <x v="0"/>
          </reference>
          <reference field="6" count="1" selected="0">
            <x v="1"/>
          </reference>
        </references>
      </pivotArea>
    </chartFormat>
    <chartFormat chart="15" format="31">
      <pivotArea type="data" outline="0" fieldPosition="0">
        <references count="2">
          <reference field="4294967294" count="1" selected="0">
            <x v="0"/>
          </reference>
          <reference field="6" count="1" selected="0">
            <x v="2"/>
          </reference>
        </references>
      </pivotArea>
    </chartFormat>
    <chartFormat chart="15" format="32">
      <pivotArea type="data" outline="0" fieldPosition="0">
        <references count="2">
          <reference field="4294967294" count="1" selected="0">
            <x v="0"/>
          </reference>
          <reference field="6" count="1" selected="0">
            <x v="3"/>
          </reference>
        </references>
      </pivotArea>
    </chartFormat>
    <chartFormat chart="15" format="33">
      <pivotArea type="data" outline="0" fieldPosition="0">
        <references count="2">
          <reference field="4294967294" count="1" selected="0">
            <x v="0"/>
          </reference>
          <reference field="6" count="1" selected="0">
            <x v="4"/>
          </reference>
        </references>
      </pivotArea>
    </chartFormat>
    <chartFormat chart="15" format="34">
      <pivotArea type="data" outline="0" fieldPosition="0">
        <references count="2">
          <reference field="4294967294" count="1" selected="0">
            <x v="0"/>
          </reference>
          <reference field="6" count="1" selected="0">
            <x v="5"/>
          </reference>
        </references>
      </pivotArea>
    </chartFormat>
    <chartFormat chart="15" format="35" series="1">
      <pivotArea type="data" outline="0" fieldPosition="0">
        <references count="1">
          <reference field="4294967294" count="1" selected="0">
            <x v="1"/>
          </reference>
        </references>
      </pivotArea>
    </chartFormat>
    <chartFormat chart="15" format="36">
      <pivotArea type="data" outline="0" fieldPosition="0">
        <references count="2">
          <reference field="4294967294" count="1" selected="0">
            <x v="1"/>
          </reference>
          <reference field="6" count="1" selected="0">
            <x v="0"/>
          </reference>
        </references>
      </pivotArea>
    </chartFormat>
    <chartFormat chart="15" format="37">
      <pivotArea type="data" outline="0" fieldPosition="0">
        <references count="2">
          <reference field="4294967294" count="1" selected="0">
            <x v="1"/>
          </reference>
          <reference field="6" count="1" selected="0">
            <x v="1"/>
          </reference>
        </references>
      </pivotArea>
    </chartFormat>
    <chartFormat chart="15" format="38">
      <pivotArea type="data" outline="0" fieldPosition="0">
        <references count="2">
          <reference field="4294967294" count="1" selected="0">
            <x v="1"/>
          </reference>
          <reference field="6" count="1" selected="0">
            <x v="2"/>
          </reference>
        </references>
      </pivotArea>
    </chartFormat>
    <chartFormat chart="15" format="39">
      <pivotArea type="data" outline="0" fieldPosition="0">
        <references count="2">
          <reference field="4294967294" count="1" selected="0">
            <x v="1"/>
          </reference>
          <reference field="6" count="1" selected="0">
            <x v="3"/>
          </reference>
        </references>
      </pivotArea>
    </chartFormat>
    <chartFormat chart="15" format="40">
      <pivotArea type="data" outline="0" fieldPosition="0">
        <references count="2">
          <reference field="4294967294" count="1" selected="0">
            <x v="1"/>
          </reference>
          <reference field="6" count="1" selected="0">
            <x v="4"/>
          </reference>
        </references>
      </pivotArea>
    </chartFormat>
    <chartFormat chart="15" format="41">
      <pivotArea type="data" outline="0" fieldPosition="0">
        <references count="2">
          <reference field="4294967294" count="1" selected="0">
            <x v="1"/>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4106DB-4EB0-45FF-9AC2-F53D17566F8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U34:V43" firstHeaderRow="1" firstDataRow="1" firstDataCol="1"/>
  <pivotFields count="14">
    <pivotField dataField="1" showAll="0"/>
    <pivotField showAll="0"/>
    <pivotField showAll="0"/>
    <pivotField numFmtId="164" showAll="0"/>
    <pivotField axis="axisRow" showAll="0">
      <items count="3">
        <item x="0"/>
        <item x="1"/>
        <item t="default"/>
      </items>
    </pivotField>
    <pivotField numFmtId="14" showAll="0">
      <items count="48">
        <item x="9"/>
        <item m="1" x="29"/>
        <item m="1" x="30"/>
        <item m="1" x="31"/>
        <item m="1" x="32"/>
        <item m="1" x="33"/>
        <item m="1" x="34"/>
        <item m="1" x="37"/>
        <item m="1" x="38"/>
        <item m="1" x="39"/>
        <item m="1" x="40"/>
        <item x="10"/>
        <item x="13"/>
        <item x="11"/>
        <item m="1" x="35"/>
        <item m="1" x="45"/>
        <item x="12"/>
        <item m="1" x="36"/>
        <item m="1" x="44"/>
        <item m="1" x="41"/>
        <item x="14"/>
        <item x="15"/>
        <item x="16"/>
        <item m="1" x="43"/>
        <item m="1" x="46"/>
        <item x="0"/>
        <item x="1"/>
        <item x="18"/>
        <item x="2"/>
        <item m="1" x="42"/>
        <item x="17"/>
        <item x="5"/>
        <item x="22"/>
        <item x="23"/>
        <item x="3"/>
        <item x="25"/>
        <item x="24"/>
        <item x="26"/>
        <item x="27"/>
        <item x="8"/>
        <item x="4"/>
        <item x="28"/>
        <item x="7"/>
        <item x="6"/>
        <item x="19"/>
        <item x="21"/>
        <item x="20"/>
        <item t="default"/>
      </items>
    </pivotField>
    <pivotField showAll="0"/>
    <pivotField showAll="0"/>
    <pivotField axis="axisRow" numFmtId="164" showAll="0">
      <items count="7">
        <item x="4"/>
        <item x="3"/>
        <item sd="0" x="2"/>
        <item x="1"/>
        <item x="5"/>
        <item x="0"/>
        <item t="default"/>
      </items>
    </pivotField>
    <pivotField numFmtId="164" showAll="0"/>
    <pivotField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2">
    <field x="8"/>
    <field x="4"/>
  </rowFields>
  <rowItems count="9">
    <i>
      <x/>
    </i>
    <i r="1">
      <x v="1"/>
    </i>
    <i>
      <x v="1"/>
    </i>
    <i r="1">
      <x/>
    </i>
    <i r="1">
      <x v="1"/>
    </i>
    <i>
      <x v="2"/>
    </i>
    <i>
      <x v="3"/>
    </i>
    <i r="1">
      <x v="1"/>
    </i>
    <i t="grand">
      <x/>
    </i>
  </rowItems>
  <colItems count="1">
    <i/>
  </colItems>
  <dataFields count="1">
    <dataField name="Count of ID" fld="0" subtotal="count" baseField="0" baseItem="0"/>
  </dataFields>
  <formats count="1">
    <format dxfId="15">
      <pivotArea field="8" type="button" dataOnly="0" labelOnly="1" outline="0" axis="axisRow"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EC8EB5-8B7B-4CAB-AAE6-93E40ABAD8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22:W25" firstHeaderRow="0" firstDataRow="1" firstDataCol="1"/>
  <pivotFields count="14">
    <pivotField dataField="1" showAll="0"/>
    <pivotField showAll="0"/>
    <pivotField showAll="0"/>
    <pivotField numFmtId="164" showAll="0"/>
    <pivotField axis="axisRow" showAll="0">
      <items count="3">
        <item x="0"/>
        <item x="1"/>
        <item t="default"/>
      </items>
    </pivotField>
    <pivotField numFmtId="14" showAll="0">
      <items count="48">
        <item x="9"/>
        <item m="1" x="29"/>
        <item m="1" x="30"/>
        <item m="1" x="31"/>
        <item m="1" x="32"/>
        <item m="1" x="33"/>
        <item m="1" x="34"/>
        <item m="1" x="37"/>
        <item m="1" x="38"/>
        <item m="1" x="39"/>
        <item m="1" x="40"/>
        <item x="10"/>
        <item x="13"/>
        <item x="11"/>
        <item m="1" x="35"/>
        <item m="1" x="45"/>
        <item x="12"/>
        <item m="1" x="36"/>
        <item m="1" x="44"/>
        <item m="1" x="41"/>
        <item x="14"/>
        <item x="15"/>
        <item x="16"/>
        <item m="1" x="43"/>
        <item m="1" x="46"/>
        <item x="0"/>
        <item x="1"/>
        <item x="18"/>
        <item x="2"/>
        <item m="1" x="42"/>
        <item x="17"/>
        <item x="5"/>
        <item x="22"/>
        <item x="23"/>
        <item x="3"/>
        <item x="25"/>
        <item x="24"/>
        <item x="26"/>
        <item x="27"/>
        <item x="8"/>
        <item x="4"/>
        <item x="28"/>
        <item x="7"/>
        <item x="6"/>
        <item x="19"/>
        <item x="21"/>
        <item x="20"/>
        <item t="default"/>
      </items>
    </pivotField>
    <pivotField showAll="0"/>
    <pivotField showAll="0"/>
    <pivotField dataField="1" numFmtId="164" showAll="0"/>
    <pivotField numFmtId="164" showAll="0"/>
    <pivotField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4"/>
  </rowFields>
  <rowItems count="3">
    <i>
      <x/>
    </i>
    <i>
      <x v="1"/>
    </i>
    <i t="grand">
      <x/>
    </i>
  </rowItems>
  <colFields count="1">
    <field x="-2"/>
  </colFields>
  <colItems count="2">
    <i>
      <x/>
    </i>
    <i i="1">
      <x v="1"/>
    </i>
  </colItems>
  <dataFields count="2">
    <dataField name="Average of Bonus" fld="8" subtotal="average" baseField="4" baseItem="0" numFmtId="164"/>
    <dataField name="Count of ID" fld="0" subtotal="count" baseField="4" baseItem="0" numFmtId="49"/>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8C03BB-A4C3-455E-9E62-982B0144DC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3:E16" firstHeaderRow="1" firstDataRow="1" firstDataCol="1" rowPageCount="1" colPageCount="1"/>
  <pivotFields count="14">
    <pivotField dataField="1" showAll="0"/>
    <pivotField showAll="0"/>
    <pivotField showAll="0"/>
    <pivotField numFmtId="1" showAll="0"/>
    <pivotField axis="axisRow" showAll="0" sortType="ascending">
      <items count="3">
        <item sd="0" x="0"/>
        <item sd="0" x="1"/>
        <item t="default"/>
      </items>
    </pivotField>
    <pivotField numFmtId="14" showAll="0">
      <items count="48">
        <item x="0"/>
        <item x="1"/>
        <item x="2"/>
        <item x="5"/>
        <item x="3"/>
        <item x="8"/>
        <item x="4"/>
        <item x="7"/>
        <item x="6"/>
        <item x="9"/>
        <item m="1" x="29"/>
        <item m="1" x="30"/>
        <item m="1" x="31"/>
        <item m="1" x="32"/>
        <item m="1" x="33"/>
        <item m="1" x="34"/>
        <item m="1" x="35"/>
        <item m="1" x="36"/>
        <item m="1" x="37"/>
        <item m="1" x="38"/>
        <item m="1" x="39"/>
        <item m="1" x="40"/>
        <item m="1" x="41"/>
        <item m="1" x="42"/>
        <item m="1" x="43"/>
        <item x="25"/>
        <item m="1" x="44"/>
        <item m="1" x="45"/>
        <item m="1" x="46"/>
        <item x="10"/>
        <item x="11"/>
        <item x="12"/>
        <item x="13"/>
        <item x="14"/>
        <item x="15"/>
        <item x="16"/>
        <item x="17"/>
        <item x="18"/>
        <item x="19"/>
        <item x="20"/>
        <item x="21"/>
        <item x="22"/>
        <item x="23"/>
        <item x="24"/>
        <item x="26"/>
        <item x="27"/>
        <item x="28"/>
        <item t="default"/>
      </items>
    </pivotField>
    <pivotField showAll="0"/>
    <pivotField axis="axisPage" multipleItemSelectionAllowed="1" showAll="0">
      <items count="3">
        <item x="1"/>
        <item x="0"/>
        <item t="default"/>
      </items>
    </pivotField>
    <pivotField showAll="0"/>
    <pivotField numFmtId="1" showAll="0"/>
    <pivotField showAll="0"/>
    <pivotField showAll="0" defaultSubtotal="0"/>
    <pivotField showAll="0" defaultSubtotal="0"/>
    <pivotField showAll="0" defaultSubtotal="0">
      <items count="21">
        <item x="6"/>
        <item x="7"/>
        <item x="8"/>
        <item x="9"/>
        <item x="10"/>
        <item x="11"/>
        <item x="12"/>
        <item x="13"/>
        <item x="14"/>
        <item x="15"/>
        <item x="16"/>
        <item x="0"/>
        <item x="1"/>
        <item x="2"/>
        <item x="3"/>
        <item x="4"/>
        <item x="5"/>
        <item x="17"/>
        <item x="18"/>
        <item x="19"/>
        <item x="20"/>
      </items>
    </pivotField>
  </pivotFields>
  <rowFields count="1">
    <field x="4"/>
  </rowFields>
  <rowItems count="3">
    <i>
      <x/>
    </i>
    <i>
      <x v="1"/>
    </i>
    <i t="grand">
      <x/>
    </i>
  </rowItems>
  <colItems count="1">
    <i/>
  </colItems>
  <pageFields count="1">
    <pageField fld="7" hier="-1"/>
  </pageFields>
  <dataFields count="1">
    <dataField name="Count of ID" fld="0" subtotal="count" baseField="0" baseItem="0" numFmtId="49"/>
  </dataFields>
  <chartFormats count="7">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A80D41-D648-4738-93B5-F141A92439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9" firstHeaderRow="0" firstDataRow="1" firstDataCol="1"/>
  <pivotFields count="14">
    <pivotField showAll="0"/>
    <pivotField showAll="0"/>
    <pivotField showAll="0"/>
    <pivotField dataField="1" numFmtId="1" showAll="0"/>
    <pivotField showAll="0"/>
    <pivotField numFmtId="14" showAll="0">
      <items count="48">
        <item x="0"/>
        <item x="1"/>
        <item x="2"/>
        <item x="5"/>
        <item x="3"/>
        <item x="8"/>
        <item x="4"/>
        <item x="7"/>
        <item x="6"/>
        <item x="9"/>
        <item m="1" x="29"/>
        <item m="1" x="30"/>
        <item m="1" x="31"/>
        <item m="1" x="32"/>
        <item m="1" x="33"/>
        <item m="1" x="34"/>
        <item m="1" x="35"/>
        <item m="1" x="36"/>
        <item m="1" x="37"/>
        <item m="1" x="38"/>
        <item m="1" x="39"/>
        <item m="1" x="40"/>
        <item m="1" x="41"/>
        <item m="1" x="42"/>
        <item m="1" x="43"/>
        <item x="25"/>
        <item m="1" x="44"/>
        <item m="1" x="45"/>
        <item m="1" x="46"/>
        <item x="10"/>
        <item x="11"/>
        <item x="12"/>
        <item x="13"/>
        <item x="14"/>
        <item x="15"/>
        <item x="16"/>
        <item x="17"/>
        <item x="18"/>
        <item x="19"/>
        <item x="20"/>
        <item x="21"/>
        <item x="22"/>
        <item x="23"/>
        <item x="24"/>
        <item x="26"/>
        <item x="27"/>
        <item x="28"/>
        <item t="default"/>
      </items>
    </pivotField>
    <pivotField showAll="0"/>
    <pivotField axis="axisRow" showAll="0">
      <items count="3">
        <item x="1"/>
        <item x="0"/>
        <item t="default"/>
      </items>
    </pivotField>
    <pivotField showAll="0"/>
    <pivotField dataField="1" numFmtId="1" showAll="0"/>
    <pivotField axis="axisRow" showAll="0">
      <items count="6">
        <item sd="0" x="1"/>
        <item sd="0" x="2"/>
        <item sd="0" x="0"/>
        <item sd="0" x="3"/>
        <item sd="0" x="4"/>
        <item t="default" sd="0"/>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22">
        <item x="6"/>
        <item x="7"/>
        <item x="8"/>
        <item x="9"/>
        <item x="10"/>
        <item x="11"/>
        <item x="12"/>
        <item x="13"/>
        <item x="14"/>
        <item x="15"/>
        <item x="16"/>
        <item x="0"/>
        <item x="1"/>
        <item x="2"/>
        <item x="3"/>
        <item x="4"/>
        <item x="5"/>
        <item x="17"/>
        <item x="18"/>
        <item x="19"/>
        <item x="20"/>
        <item t="default"/>
      </items>
    </pivotField>
  </pivotFields>
  <rowFields count="2">
    <field x="10"/>
    <field x="7"/>
  </rowFields>
  <rowItems count="6">
    <i>
      <x/>
    </i>
    <i>
      <x v="1"/>
    </i>
    <i>
      <x v="2"/>
    </i>
    <i>
      <x v="3"/>
    </i>
    <i>
      <x v="4"/>
    </i>
    <i t="grand">
      <x/>
    </i>
  </rowItems>
  <colFields count="1">
    <field x="-2"/>
  </colFields>
  <colItems count="2">
    <i>
      <x/>
    </i>
    <i i="1">
      <x v="1"/>
    </i>
  </colItems>
  <dataFields count="2">
    <dataField name="Average of Salary" fld="3" subtotal="average" baseField="10" baseItem="0" numFmtId="164"/>
    <dataField name="Average of Total_Salary" fld="9" subtotal="average" baseField="10" baseItem="0" numFmtId="164"/>
  </dataFields>
  <formats count="4">
    <format dxfId="19">
      <pivotArea outline="0" collapsedLevelsAreSubtotals="1" fieldPosition="0">
        <references count="1">
          <reference field="4294967294" count="1" selected="0">
            <x v="0"/>
          </reference>
        </references>
      </pivotArea>
    </format>
    <format dxfId="18">
      <pivotArea field="10" type="button" dataOnly="0" labelOnly="1" outline="0" axis="axisRow" fieldPosition="0"/>
    </format>
    <format dxfId="17">
      <pivotArea dataOnly="0" labelOnly="1" fieldPosition="0">
        <references count="1">
          <reference field="10" count="0"/>
        </references>
      </pivotArea>
    </format>
    <format dxfId="16">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5E94C8-5403-4A66-8F93-6F0A096B60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7:L10" firstHeaderRow="0" firstDataRow="1" firstDataCol="1"/>
  <pivotFields count="14">
    <pivotField showAll="0"/>
    <pivotField showAll="0"/>
    <pivotField showAll="0"/>
    <pivotField numFmtId="164" showAll="0"/>
    <pivotField axis="axisRow" showAll="0">
      <items count="3">
        <item x="0"/>
        <item x="1"/>
        <item t="default"/>
      </items>
    </pivotField>
    <pivotField numFmtId="14" showAll="0">
      <items count="48">
        <item x="9"/>
        <item m="1" x="29"/>
        <item m="1" x="30"/>
        <item m="1" x="31"/>
        <item m="1" x="32"/>
        <item m="1" x="33"/>
        <item m="1" x="34"/>
        <item m="1" x="37"/>
        <item m="1" x="38"/>
        <item m="1" x="39"/>
        <item m="1" x="40"/>
        <item x="10"/>
        <item x="13"/>
        <item x="11"/>
        <item m="1" x="35"/>
        <item m="1" x="45"/>
        <item x="12"/>
        <item m="1" x="36"/>
        <item m="1" x="44"/>
        <item m="1" x="41"/>
        <item x="14"/>
        <item x="15"/>
        <item x="16"/>
        <item m="1" x="43"/>
        <item m="1" x="46"/>
        <item x="0"/>
        <item x="1"/>
        <item x="18"/>
        <item x="2"/>
        <item m="1" x="42"/>
        <item x="17"/>
        <item x="5"/>
        <item x="22"/>
        <item x="23"/>
        <item x="3"/>
        <item x="25"/>
        <item x="24"/>
        <item x="26"/>
        <item x="27"/>
        <item x="8"/>
        <item x="4"/>
        <item x="28"/>
        <item x="7"/>
        <item x="6"/>
        <item x="19"/>
        <item x="21"/>
        <item x="20"/>
        <item t="default"/>
      </items>
    </pivotField>
    <pivotField showAll="0"/>
    <pivotField showAll="0">
      <items count="3">
        <item x="1"/>
        <item x="0"/>
        <item t="default"/>
      </items>
    </pivotField>
    <pivotField dataField="1" numFmtId="164" showAll="0"/>
    <pivotField numFmtId="164" showAll="0"/>
    <pivotField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4"/>
  </rowFields>
  <rowItems count="3">
    <i>
      <x/>
    </i>
    <i>
      <x v="1"/>
    </i>
    <i t="grand">
      <x/>
    </i>
  </rowItems>
  <colFields count="1">
    <field x="-2"/>
  </colFields>
  <colItems count="2">
    <i>
      <x/>
    </i>
    <i i="1">
      <x v="1"/>
    </i>
  </colItems>
  <dataFields count="2">
    <dataField name="Sum of Bonus" fld="8" baseField="0" baseItem="0" numFmtId="164"/>
    <dataField name="Average of Bonus2" fld="8" subtotal="average" baseField="4"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E290B8-DEFF-458A-99F6-482533F49C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18:N49" firstHeaderRow="1" firstDataRow="1" firstDataCol="1"/>
  <pivotFields count="14">
    <pivotField axis="axisRow" showAll="0" measureFilter="1" sortType="descending">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 axis="axisRow" showAll="0">
      <items count="29">
        <item sd="0" x="1"/>
        <item x="4"/>
        <item x="16"/>
        <item x="6"/>
        <item x="24"/>
        <item x="22"/>
        <item x="14"/>
        <item x="15"/>
        <item x="17"/>
        <item x="25"/>
        <item x="26"/>
        <item x="13"/>
        <item x="7"/>
        <item x="8"/>
        <item x="0"/>
        <item x="2"/>
        <item x="19"/>
        <item x="3"/>
        <item x="10"/>
        <item x="20"/>
        <item x="11"/>
        <item x="12"/>
        <item x="18"/>
        <item x="23"/>
        <item x="9"/>
        <item x="21"/>
        <item x="5"/>
        <item x="27"/>
        <item t="default"/>
      </items>
    </pivotField>
    <pivotField showAll="0"/>
    <pivotField numFmtId="164" showAll="0"/>
    <pivotField showAll="0"/>
    <pivotField numFmtId="14" showAll="0">
      <items count="48">
        <item x="9"/>
        <item m="1" x="29"/>
        <item m="1" x="30"/>
        <item m="1" x="31"/>
        <item m="1" x="32"/>
        <item m="1" x="33"/>
        <item m="1" x="34"/>
        <item m="1" x="37"/>
        <item m="1" x="38"/>
        <item m="1" x="39"/>
        <item m="1" x="40"/>
        <item x="10"/>
        <item x="13"/>
        <item x="11"/>
        <item m="1" x="35"/>
        <item m="1" x="45"/>
        <item x="12"/>
        <item m="1" x="36"/>
        <item m="1" x="44"/>
        <item m="1" x="41"/>
        <item x="14"/>
        <item x="15"/>
        <item x="16"/>
        <item m="1" x="43"/>
        <item m="1" x="46"/>
        <item x="0"/>
        <item x="1"/>
        <item x="18"/>
        <item x="2"/>
        <item m="1" x="42"/>
        <item x="17"/>
        <item x="5"/>
        <item x="22"/>
        <item x="23"/>
        <item x="3"/>
        <item x="25"/>
        <item x="24"/>
        <item x="26"/>
        <item x="27"/>
        <item x="8"/>
        <item x="4"/>
        <item x="28"/>
        <item x="7"/>
        <item x="6"/>
        <item x="19"/>
        <item x="21"/>
        <item x="20"/>
        <item t="default"/>
      </items>
    </pivotField>
    <pivotField showAll="0"/>
    <pivotField showAll="0"/>
    <pivotField dataField="1" numFmtId="164" showAll="0"/>
    <pivotField numFmtId="164" showAll="0"/>
    <pivotField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2">
    <field x="0"/>
    <field x="1"/>
  </rowFields>
  <rowItems count="31">
    <i>
      <x v="2"/>
    </i>
    <i r="1">
      <x v="15"/>
    </i>
    <i>
      <x v="9"/>
    </i>
    <i r="1">
      <x v="24"/>
    </i>
    <i>
      <x v="1"/>
    </i>
    <i r="1">
      <x/>
    </i>
    <i>
      <x v="7"/>
    </i>
    <i r="1">
      <x v="12"/>
    </i>
    <i>
      <x v="14"/>
    </i>
    <i r="1">
      <x v="6"/>
    </i>
    <i>
      <x v="18"/>
    </i>
    <i r="1">
      <x v="22"/>
    </i>
    <i>
      <x v="13"/>
    </i>
    <i r="1">
      <x v="11"/>
    </i>
    <i>
      <x v="15"/>
    </i>
    <i r="1">
      <x v="7"/>
    </i>
    <i>
      <x v="5"/>
    </i>
    <i r="1">
      <x v="26"/>
    </i>
    <i>
      <x v="16"/>
    </i>
    <i r="1">
      <x v="2"/>
    </i>
    <i>
      <x v="17"/>
    </i>
    <i r="1">
      <x v="8"/>
    </i>
    <i>
      <x v="10"/>
    </i>
    <i r="1">
      <x v="18"/>
    </i>
    <i>
      <x v="19"/>
    </i>
    <i r="1">
      <x v="16"/>
    </i>
    <i>
      <x v="11"/>
    </i>
    <i r="1">
      <x v="20"/>
    </i>
    <i>
      <x v="12"/>
    </i>
    <i r="1">
      <x v="21"/>
    </i>
    <i t="grand">
      <x/>
    </i>
  </rowItems>
  <colItems count="1">
    <i/>
  </colItems>
  <dataFields count="1">
    <dataField name="Sum of Bonus" fld="8"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16BDC8-C81D-4E50-AAFE-8885F5BF6DFB}" sourceName="Gender">
  <pivotTables>
    <pivotTable tabId="3" name="PivotTable4"/>
    <pivotTable tabId="3" name="PivotTable3"/>
  </pivotTables>
  <data>
    <tabular pivotCacheId="17374311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BFDAACD-6185-4BD5-878F-5AB1654BF0FA}"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6DBC9B5-7CFE-4218-99A9-2580CC979BB1}"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C36276-6F75-4D26-9390-874C5C102CB6}" name="Table2" displayName="Table2" ref="A1:K30" totalsRowShown="0" headerRowDxfId="12">
  <autoFilter ref="A1:K30" xr:uid="{63C36276-6F75-4D26-9390-874C5C102CB6}"/>
  <sortState xmlns:xlrd2="http://schemas.microsoft.com/office/spreadsheetml/2017/richdata2" ref="A2:K10">
    <sortCondition ref="A1:A10"/>
  </sortState>
  <tableColumns count="11">
    <tableColumn id="1" xr3:uid="{728CBFD8-CF71-43D3-80D9-B269876ECF80}" name="ID" dataDxfId="11"/>
    <tableColumn id="2" xr3:uid="{9CE8BE69-044D-49C9-A64B-4D32BAE75F4B}" name="firstname" dataDxfId="10"/>
    <tableColumn id="3" xr3:uid="{B2183B2C-9C9C-48AC-B529-8F73157BE3A3}" name="Lastname" dataDxfId="9"/>
    <tableColumn id="4" xr3:uid="{54759644-2235-4094-ABCE-F9DA738BB3E7}" name="Salary" dataDxfId="8"/>
    <tableColumn id="5" xr3:uid="{96D8EB67-D74C-480A-8A69-A2D392610CE7}" name="Department" dataDxfId="7"/>
    <tableColumn id="6" xr3:uid="{2BB1F42D-E0D0-456F-B4EE-12EE0F098F94}" name="Start_date" dataDxfId="6"/>
    <tableColumn id="7" xr3:uid="{6B5973BF-7972-4040-AD9E-2C9949A45448}" name="Job_title" dataDxfId="5"/>
    <tableColumn id="8" xr3:uid="{6A8E0490-54CD-498D-A567-9D60A5A2DAAC}" name="Gender" dataDxfId="4"/>
    <tableColumn id="9" xr3:uid="{9DD33210-F961-4F9F-8B82-F2C95F0FB953}" name="Bonus" dataDxfId="3">
      <calculatedColumnFormula>D2*0.1</calculatedColumnFormula>
    </tableColumn>
    <tableColumn id="10" xr3:uid="{29022BEE-6B8C-4148-A988-838536CD38C1}" name="Total_Salary" dataDxfId="2">
      <calculatedColumnFormula>D2+I2</calculatedColumnFormula>
    </tableColumn>
    <tableColumn id="11" xr3:uid="{27A8D65B-D07D-4CEA-8913-7193449F2B09}" name="C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10" Type="http://schemas.microsoft.com/office/2007/relationships/slicer" Target="../slicers/slicer1.xml" /><Relationship Id="rId4" Type="http://schemas.openxmlformats.org/officeDocument/2006/relationships/pivotTable" Target="../pivotTables/pivotTable4.xml" /><Relationship Id="rId9"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2" Type="http://schemas.microsoft.com/office/2007/relationships/slicer" Target="../slicers/slicer2.xml" /><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CEF1-55AC-4B94-9314-341E12C6BCFB}">
  <dimension ref="A3:W49"/>
  <sheetViews>
    <sheetView topLeftCell="E3" workbookViewId="0">
      <selection activeCell="T16" sqref="T16"/>
    </sheetView>
  </sheetViews>
  <sheetFormatPr defaultRowHeight="15" x14ac:dyDescent="0.2"/>
  <cols>
    <col min="1" max="2" width="13.44921875" bestFit="1" customWidth="1"/>
    <col min="3" max="3" width="16.41015625" bestFit="1" customWidth="1"/>
    <col min="4" max="4" width="13.44921875" bestFit="1" customWidth="1"/>
    <col min="5" max="5" width="11.296875" bestFit="1" customWidth="1"/>
    <col min="8" max="8" width="13.71875" bestFit="1" customWidth="1"/>
    <col min="9" max="9" width="13.31640625" bestFit="1" customWidth="1"/>
    <col min="10" max="11" width="13.44921875" bestFit="1" customWidth="1"/>
    <col min="12" max="12" width="17.75390625" bestFit="1" customWidth="1"/>
    <col min="13" max="14" width="13.44921875" bestFit="1" customWidth="1"/>
    <col min="15" max="18" width="6.58984375" bestFit="1" customWidth="1"/>
    <col min="19" max="19" width="18.6953125" bestFit="1" customWidth="1"/>
    <col min="20" max="20" width="6.58984375" bestFit="1" customWidth="1"/>
    <col min="21" max="21" width="13.44921875" bestFit="1" customWidth="1"/>
    <col min="22" max="22" width="20.4453125" customWidth="1"/>
    <col min="23" max="23" width="11.296875" bestFit="1" customWidth="1"/>
    <col min="24" max="25" width="17.75390625" bestFit="1" customWidth="1"/>
    <col min="26" max="27" width="6.58984375" bestFit="1" customWidth="1"/>
    <col min="28" max="28" width="18.29296875" bestFit="1" customWidth="1"/>
    <col min="29" max="29" width="23.67578125" bestFit="1" customWidth="1"/>
  </cols>
  <sheetData>
    <row r="3" spans="1:12" x14ac:dyDescent="0.2">
      <c r="A3" s="15" t="s">
        <v>44</v>
      </c>
      <c r="B3" t="s">
        <v>48</v>
      </c>
      <c r="C3" t="s">
        <v>49</v>
      </c>
    </row>
    <row r="4" spans="1:12" x14ac:dyDescent="0.2">
      <c r="A4" s="16" t="s">
        <v>35</v>
      </c>
      <c r="B4" s="12">
        <v>3300</v>
      </c>
      <c r="C4" s="12">
        <v>3630</v>
      </c>
    </row>
    <row r="5" spans="1:12" x14ac:dyDescent="0.2">
      <c r="A5" s="16" t="s">
        <v>36</v>
      </c>
      <c r="B5" s="12">
        <v>3333.3333333333335</v>
      </c>
      <c r="C5" s="12">
        <v>3666.6666666666665</v>
      </c>
    </row>
    <row r="6" spans="1:12" x14ac:dyDescent="0.2">
      <c r="A6" s="16" t="s">
        <v>34</v>
      </c>
      <c r="B6" s="12">
        <v>2944.4444444444443</v>
      </c>
      <c r="C6" s="12">
        <v>3216.6666666666665</v>
      </c>
    </row>
    <row r="7" spans="1:12" x14ac:dyDescent="0.2">
      <c r="A7" s="16" t="s">
        <v>37</v>
      </c>
      <c r="B7" s="12">
        <v>2500</v>
      </c>
      <c r="C7" s="12">
        <v>2750</v>
      </c>
      <c r="J7" s="13" t="s">
        <v>44</v>
      </c>
      <c r="K7" t="s">
        <v>126</v>
      </c>
      <c r="L7" t="s">
        <v>127</v>
      </c>
    </row>
    <row r="8" spans="1:12" x14ac:dyDescent="0.2">
      <c r="A8" s="16" t="s">
        <v>38</v>
      </c>
      <c r="B8" s="12">
        <v>3500</v>
      </c>
      <c r="C8" s="12">
        <v>3850</v>
      </c>
      <c r="J8" s="14" t="s">
        <v>18</v>
      </c>
      <c r="K8" s="12">
        <v>3700</v>
      </c>
      <c r="L8" s="12">
        <v>264.28571428571428</v>
      </c>
    </row>
    <row r="9" spans="1:12" x14ac:dyDescent="0.2">
      <c r="A9" s="16" t="s">
        <v>45</v>
      </c>
      <c r="B9" s="12">
        <v>3120.6896551724139</v>
      </c>
      <c r="C9" s="12">
        <v>3425.8620689655172</v>
      </c>
      <c r="J9" s="14" t="s">
        <v>19</v>
      </c>
      <c r="K9" s="12">
        <v>5350</v>
      </c>
      <c r="L9" s="12">
        <v>356.66666666666669</v>
      </c>
    </row>
    <row r="10" spans="1:12" x14ac:dyDescent="0.2">
      <c r="J10" s="14" t="s">
        <v>45</v>
      </c>
      <c r="K10" s="12">
        <v>9050</v>
      </c>
      <c r="L10" s="12">
        <v>312.06896551724139</v>
      </c>
    </row>
    <row r="11" spans="1:12" x14ac:dyDescent="0.2">
      <c r="D11" s="13" t="s">
        <v>22</v>
      </c>
      <c r="E11" t="s">
        <v>133</v>
      </c>
    </row>
    <row r="13" spans="1:12" x14ac:dyDescent="0.2">
      <c r="D13" s="13" t="s">
        <v>44</v>
      </c>
      <c r="E13" t="s">
        <v>50</v>
      </c>
    </row>
    <row r="14" spans="1:12" x14ac:dyDescent="0.2">
      <c r="D14" s="14" t="s">
        <v>18</v>
      </c>
      <c r="E14" s="4">
        <v>14</v>
      </c>
    </row>
    <row r="15" spans="1:12" x14ac:dyDescent="0.2">
      <c r="D15" s="14" t="s">
        <v>19</v>
      </c>
      <c r="E15" s="4">
        <v>15</v>
      </c>
    </row>
    <row r="16" spans="1:12" x14ac:dyDescent="0.2">
      <c r="D16" s="14" t="s">
        <v>45</v>
      </c>
      <c r="E16" s="4">
        <v>29</v>
      </c>
    </row>
    <row r="18" spans="2:23" x14ac:dyDescent="0.2">
      <c r="M18" s="13" t="s">
        <v>44</v>
      </c>
      <c r="N18" t="s">
        <v>126</v>
      </c>
    </row>
    <row r="19" spans="2:23" x14ac:dyDescent="0.2">
      <c r="M19" s="14" t="s">
        <v>3</v>
      </c>
      <c r="N19" s="12">
        <v>500</v>
      </c>
    </row>
    <row r="20" spans="2:23" x14ac:dyDescent="0.2">
      <c r="M20" s="18" t="s">
        <v>15</v>
      </c>
      <c r="N20" s="12">
        <v>500</v>
      </c>
    </row>
    <row r="21" spans="2:23" x14ac:dyDescent="0.2">
      <c r="M21" s="14" t="s">
        <v>60</v>
      </c>
      <c r="N21" s="12">
        <v>450</v>
      </c>
    </row>
    <row r="22" spans="2:23" x14ac:dyDescent="0.2">
      <c r="M22" s="18" t="s">
        <v>80</v>
      </c>
      <c r="N22" s="12">
        <v>450</v>
      </c>
      <c r="U22" s="13" t="s">
        <v>44</v>
      </c>
      <c r="V22" t="s">
        <v>128</v>
      </c>
      <c r="W22" t="s">
        <v>50</v>
      </c>
    </row>
    <row r="23" spans="2:23" x14ac:dyDescent="0.2">
      <c r="M23" s="14" t="s">
        <v>2</v>
      </c>
      <c r="N23" s="12">
        <v>400</v>
      </c>
      <c r="U23" s="14" t="s">
        <v>18</v>
      </c>
      <c r="V23" s="12">
        <v>264.28571428571428</v>
      </c>
      <c r="W23" s="4">
        <v>14</v>
      </c>
    </row>
    <row r="24" spans="2:23" x14ac:dyDescent="0.2">
      <c r="M24" s="18" t="s">
        <v>14</v>
      </c>
      <c r="N24" s="12">
        <v>400</v>
      </c>
      <c r="U24" s="14" t="s">
        <v>19</v>
      </c>
      <c r="V24" s="12">
        <v>356.66666666666669</v>
      </c>
      <c r="W24" s="4">
        <v>15</v>
      </c>
    </row>
    <row r="25" spans="2:23" x14ac:dyDescent="0.2">
      <c r="B25" s="15" t="s">
        <v>44</v>
      </c>
      <c r="C25" t="s">
        <v>48</v>
      </c>
      <c r="D25" t="s">
        <v>49</v>
      </c>
      <c r="M25" s="14" t="s">
        <v>8</v>
      </c>
      <c r="N25" s="12">
        <v>400</v>
      </c>
      <c r="U25" s="14" t="s">
        <v>45</v>
      </c>
      <c r="V25" s="12">
        <v>312.06896551724139</v>
      </c>
      <c r="W25" s="4">
        <v>29</v>
      </c>
    </row>
    <row r="26" spans="2:23" x14ac:dyDescent="0.2">
      <c r="B26" s="14" t="s">
        <v>117</v>
      </c>
      <c r="C26" s="12">
        <v>4000</v>
      </c>
      <c r="D26" s="12">
        <v>4400</v>
      </c>
      <c r="M26" s="18" t="s">
        <v>43</v>
      </c>
      <c r="N26" s="12">
        <v>400</v>
      </c>
    </row>
    <row r="27" spans="2:23" x14ac:dyDescent="0.2">
      <c r="B27" s="14" t="s">
        <v>118</v>
      </c>
      <c r="C27" s="12">
        <v>3500</v>
      </c>
      <c r="D27" s="12">
        <v>3850</v>
      </c>
      <c r="M27" s="14" t="s">
        <v>65</v>
      </c>
      <c r="N27" s="12">
        <v>350</v>
      </c>
    </row>
    <row r="28" spans="2:23" x14ac:dyDescent="0.2">
      <c r="B28" s="14" t="s">
        <v>119</v>
      </c>
      <c r="C28" s="12">
        <v>3500</v>
      </c>
      <c r="D28" s="12">
        <v>3850</v>
      </c>
      <c r="M28" s="18" t="s">
        <v>87</v>
      </c>
      <c r="N28" s="12">
        <v>350</v>
      </c>
    </row>
    <row r="29" spans="2:23" x14ac:dyDescent="0.2">
      <c r="B29" s="14" t="s">
        <v>120</v>
      </c>
      <c r="C29" s="12">
        <v>3500</v>
      </c>
      <c r="D29" s="12">
        <v>3850</v>
      </c>
      <c r="M29" s="14" t="s">
        <v>69</v>
      </c>
      <c r="N29" s="12">
        <v>350</v>
      </c>
    </row>
    <row r="30" spans="2:23" x14ac:dyDescent="0.2">
      <c r="B30" s="14" t="s">
        <v>121</v>
      </c>
      <c r="C30" s="12">
        <v>3500</v>
      </c>
      <c r="D30" s="12">
        <v>3850</v>
      </c>
      <c r="M30" s="18" t="s">
        <v>91</v>
      </c>
      <c r="N30" s="12">
        <v>350</v>
      </c>
    </row>
    <row r="31" spans="2:23" x14ac:dyDescent="0.2">
      <c r="B31" s="14" t="s">
        <v>51</v>
      </c>
      <c r="C31" s="12">
        <v>2000</v>
      </c>
      <c r="D31" s="12">
        <v>2000</v>
      </c>
      <c r="M31" s="14" t="s">
        <v>64</v>
      </c>
      <c r="N31" s="12">
        <v>350</v>
      </c>
    </row>
    <row r="32" spans="2:23" x14ac:dyDescent="0.2">
      <c r="B32" s="14" t="s">
        <v>52</v>
      </c>
      <c r="C32" s="12">
        <v>4000</v>
      </c>
      <c r="D32" s="12">
        <v>4400</v>
      </c>
      <c r="M32" s="18" t="s">
        <v>86</v>
      </c>
      <c r="N32" s="12">
        <v>350</v>
      </c>
    </row>
    <row r="33" spans="2:22" x14ac:dyDescent="0.2">
      <c r="B33" s="14" t="s">
        <v>122</v>
      </c>
      <c r="C33" s="12">
        <v>3500</v>
      </c>
      <c r="D33" s="12">
        <v>3850</v>
      </c>
      <c r="H33" s="13" t="s">
        <v>44</v>
      </c>
      <c r="I33" t="s">
        <v>47</v>
      </c>
      <c r="J33" t="s">
        <v>46</v>
      </c>
      <c r="M33" s="14" t="s">
        <v>66</v>
      </c>
      <c r="N33" s="12">
        <v>350</v>
      </c>
    </row>
    <row r="34" spans="2:22" x14ac:dyDescent="0.2">
      <c r="B34" s="14" t="s">
        <v>53</v>
      </c>
      <c r="C34" s="12">
        <v>4250</v>
      </c>
      <c r="D34" s="12">
        <v>4675</v>
      </c>
      <c r="H34" s="14" t="s">
        <v>26</v>
      </c>
      <c r="I34" s="12">
        <v>4000</v>
      </c>
      <c r="J34" s="12">
        <v>4400</v>
      </c>
      <c r="M34" s="18" t="s">
        <v>88</v>
      </c>
      <c r="N34" s="12">
        <v>350</v>
      </c>
      <c r="U34" s="22" t="s">
        <v>44</v>
      </c>
      <c r="V34" t="s">
        <v>50</v>
      </c>
    </row>
    <row r="35" spans="2:22" x14ac:dyDescent="0.2">
      <c r="B35" s="14" t="s">
        <v>54</v>
      </c>
      <c r="C35" s="12">
        <v>3000</v>
      </c>
      <c r="D35" s="12">
        <v>3300</v>
      </c>
      <c r="H35" s="14" t="s">
        <v>24</v>
      </c>
      <c r="I35" s="12">
        <v>5000</v>
      </c>
      <c r="J35" s="12">
        <v>5500</v>
      </c>
      <c r="M35" s="14" t="s">
        <v>6</v>
      </c>
      <c r="N35" s="12">
        <v>350</v>
      </c>
      <c r="U35" s="19" t="s">
        <v>129</v>
      </c>
      <c r="V35">
        <v>4</v>
      </c>
    </row>
    <row r="36" spans="2:22" x14ac:dyDescent="0.2">
      <c r="B36" s="14" t="s">
        <v>55</v>
      </c>
      <c r="C36" s="12">
        <v>2625</v>
      </c>
      <c r="D36" s="12">
        <v>2887.5</v>
      </c>
      <c r="H36" s="14" t="s">
        <v>23</v>
      </c>
      <c r="I36" s="12">
        <v>4000</v>
      </c>
      <c r="J36" s="12">
        <v>4400</v>
      </c>
      <c r="M36" s="18" t="s">
        <v>41</v>
      </c>
      <c r="N36" s="12">
        <v>350</v>
      </c>
      <c r="U36" s="18" t="s">
        <v>19</v>
      </c>
      <c r="V36">
        <v>4</v>
      </c>
    </row>
    <row r="37" spans="2:22" x14ac:dyDescent="0.2">
      <c r="B37" s="14" t="s">
        <v>56</v>
      </c>
      <c r="C37" s="12">
        <v>2666.6666666666665</v>
      </c>
      <c r="D37" s="12">
        <v>2933.3333333333335</v>
      </c>
      <c r="H37" s="14" t="s">
        <v>25</v>
      </c>
      <c r="I37" s="12">
        <v>1000</v>
      </c>
      <c r="J37" s="12">
        <v>1100</v>
      </c>
      <c r="M37" s="14" t="s">
        <v>67</v>
      </c>
      <c r="N37" s="12">
        <v>350</v>
      </c>
      <c r="U37" s="19" t="s">
        <v>130</v>
      </c>
      <c r="V37">
        <v>14</v>
      </c>
    </row>
    <row r="38" spans="2:22" x14ac:dyDescent="0.2">
      <c r="B38" s="14" t="s">
        <v>57</v>
      </c>
      <c r="C38" s="12">
        <v>2500</v>
      </c>
      <c r="D38" s="12">
        <v>2750</v>
      </c>
      <c r="H38" s="14" t="s">
        <v>27</v>
      </c>
      <c r="I38" s="12">
        <v>37000</v>
      </c>
      <c r="J38" s="12">
        <v>40500</v>
      </c>
      <c r="M38" s="18" t="s">
        <v>89</v>
      </c>
      <c r="N38" s="12">
        <v>350</v>
      </c>
      <c r="U38" s="18" t="s">
        <v>18</v>
      </c>
      <c r="V38">
        <v>4</v>
      </c>
    </row>
    <row r="39" spans="2:22" x14ac:dyDescent="0.2">
      <c r="B39" s="14" t="s">
        <v>58</v>
      </c>
      <c r="C39" s="12">
        <v>2500</v>
      </c>
      <c r="D39" s="12">
        <v>2750</v>
      </c>
      <c r="H39" s="14" t="s">
        <v>82</v>
      </c>
      <c r="I39" s="12">
        <v>39500</v>
      </c>
      <c r="J39" s="12">
        <v>43450</v>
      </c>
      <c r="M39" s="14" t="s">
        <v>68</v>
      </c>
      <c r="N39" s="12">
        <v>350</v>
      </c>
      <c r="U39" s="18" t="s">
        <v>19</v>
      </c>
      <c r="V39">
        <v>10</v>
      </c>
    </row>
    <row r="40" spans="2:22" x14ac:dyDescent="0.2">
      <c r="B40" s="14" t="s">
        <v>123</v>
      </c>
      <c r="C40" s="12">
        <v>3500</v>
      </c>
      <c r="D40" s="12">
        <v>3850</v>
      </c>
      <c r="H40" s="14" t="s">
        <v>45</v>
      </c>
      <c r="I40" s="12">
        <v>90500</v>
      </c>
      <c r="J40" s="12">
        <v>99350</v>
      </c>
      <c r="M40" s="18" t="s">
        <v>90</v>
      </c>
      <c r="N40" s="12">
        <v>350</v>
      </c>
      <c r="U40" s="19" t="s">
        <v>131</v>
      </c>
      <c r="V40">
        <v>10</v>
      </c>
    </row>
    <row r="41" spans="2:22" x14ac:dyDescent="0.2">
      <c r="B41" s="14" t="s">
        <v>124</v>
      </c>
      <c r="C41" s="12">
        <v>2500</v>
      </c>
      <c r="D41" s="12">
        <v>2750</v>
      </c>
      <c r="M41" s="14" t="s">
        <v>61</v>
      </c>
      <c r="N41" s="12">
        <v>350</v>
      </c>
      <c r="U41" s="19" t="s">
        <v>132</v>
      </c>
      <c r="V41">
        <v>1</v>
      </c>
    </row>
    <row r="42" spans="2:22" x14ac:dyDescent="0.2">
      <c r="B42" s="14" t="s">
        <v>125</v>
      </c>
      <c r="C42" s="12">
        <v>3000</v>
      </c>
      <c r="D42" s="12">
        <v>3300</v>
      </c>
      <c r="M42" s="18" t="s">
        <v>83</v>
      </c>
      <c r="N42" s="12">
        <v>350</v>
      </c>
      <c r="U42" s="18" t="s">
        <v>19</v>
      </c>
      <c r="V42">
        <v>1</v>
      </c>
    </row>
    <row r="43" spans="2:22" x14ac:dyDescent="0.2">
      <c r="B43" s="16" t="s">
        <v>45</v>
      </c>
      <c r="C43" s="12">
        <v>3120.6896551724139</v>
      </c>
      <c r="D43" s="12">
        <v>3425.8620689655172</v>
      </c>
      <c r="M43" s="14" t="s">
        <v>70</v>
      </c>
      <c r="N43" s="12">
        <v>350</v>
      </c>
      <c r="U43" s="19" t="s">
        <v>45</v>
      </c>
      <c r="V43">
        <v>29</v>
      </c>
    </row>
    <row r="44" spans="2:22" x14ac:dyDescent="0.2">
      <c r="M44" s="18" t="s">
        <v>92</v>
      </c>
      <c r="N44" s="12">
        <v>350</v>
      </c>
    </row>
    <row r="45" spans="2:22" x14ac:dyDescent="0.2">
      <c r="M45" s="14" t="s">
        <v>62</v>
      </c>
      <c r="N45" s="12">
        <v>350</v>
      </c>
    </row>
    <row r="46" spans="2:22" x14ac:dyDescent="0.2">
      <c r="M46" s="18" t="s">
        <v>84</v>
      </c>
      <c r="N46" s="12">
        <v>350</v>
      </c>
    </row>
    <row r="47" spans="2:22" x14ac:dyDescent="0.2">
      <c r="M47" s="14" t="s">
        <v>63</v>
      </c>
      <c r="N47" s="12">
        <v>350</v>
      </c>
    </row>
    <row r="48" spans="2:22" x14ac:dyDescent="0.2">
      <c r="M48" s="18" t="s">
        <v>85</v>
      </c>
      <c r="N48" s="12">
        <v>350</v>
      </c>
    </row>
    <row r="49" spans="13:14" x14ac:dyDescent="0.2">
      <c r="M49" s="14" t="s">
        <v>45</v>
      </c>
      <c r="N49" s="12">
        <v>5600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7CDE-9777-4D33-AD5E-EEDFBBD451FD}">
  <dimension ref="M3:T7"/>
  <sheetViews>
    <sheetView tabSelected="1" topLeftCell="J1" zoomScale="91" zoomScaleNormal="91" workbookViewId="0">
      <selection activeCell="R40" sqref="R40"/>
    </sheetView>
  </sheetViews>
  <sheetFormatPr defaultRowHeight="15" x14ac:dyDescent="0.2"/>
  <sheetData>
    <row r="3" spans="13:20" x14ac:dyDescent="0.2">
      <c r="M3" s="23" t="s">
        <v>59</v>
      </c>
      <c r="N3" s="23"/>
      <c r="O3" s="23"/>
      <c r="P3" s="23"/>
      <c r="Q3" s="23"/>
      <c r="R3" s="23"/>
      <c r="S3" s="23"/>
      <c r="T3" s="23"/>
    </row>
    <row r="4" spans="13:20" x14ac:dyDescent="0.2">
      <c r="M4" s="23"/>
      <c r="N4" s="23"/>
      <c r="O4" s="23"/>
      <c r="P4" s="23"/>
      <c r="Q4" s="23"/>
      <c r="R4" s="23"/>
      <c r="S4" s="23"/>
      <c r="T4" s="23"/>
    </row>
    <row r="5" spans="13:20" x14ac:dyDescent="0.2">
      <c r="M5" s="23"/>
      <c r="N5" s="23"/>
      <c r="O5" s="23"/>
      <c r="P5" s="23"/>
      <c r="Q5" s="23"/>
      <c r="R5" s="23"/>
      <c r="S5" s="23"/>
      <c r="T5" s="23"/>
    </row>
    <row r="6" spans="13:20" x14ac:dyDescent="0.2">
      <c r="M6" s="23"/>
      <c r="N6" s="23"/>
      <c r="O6" s="23"/>
      <c r="P6" s="23"/>
      <c r="Q6" s="23"/>
      <c r="R6" s="23"/>
      <c r="S6" s="23"/>
      <c r="T6" s="23"/>
    </row>
    <row r="7" spans="13:20" x14ac:dyDescent="0.2">
      <c r="M7" s="23"/>
      <c r="N7" s="23"/>
      <c r="O7" s="23"/>
      <c r="P7" s="23"/>
      <c r="Q7" s="23"/>
      <c r="R7" s="23"/>
      <c r="S7" s="23"/>
      <c r="T7" s="23"/>
    </row>
  </sheetData>
  <mergeCells count="1">
    <mergeCell ref="M3: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AEA08-EC85-48CF-8172-B808B818D38E}">
  <dimension ref="A1:L30"/>
  <sheetViews>
    <sheetView workbookViewId="0">
      <selection activeCell="I7" sqref="I7"/>
    </sheetView>
  </sheetViews>
  <sheetFormatPr defaultRowHeight="15" x14ac:dyDescent="0.2"/>
  <cols>
    <col min="2" max="2" width="25.01953125" customWidth="1"/>
    <col min="3" max="3" width="16.6796875" customWidth="1"/>
    <col min="4" max="4" width="18.16015625" customWidth="1"/>
    <col min="5" max="5" width="20.3125" customWidth="1"/>
    <col min="6" max="6" width="16.94921875" customWidth="1"/>
    <col min="7" max="7" width="14.52734375" customWidth="1"/>
    <col min="8" max="8" width="13.85546875" customWidth="1"/>
    <col min="9" max="9" width="11.43359375" style="21" customWidth="1"/>
    <col min="10" max="10" width="17.75390625" style="12" customWidth="1"/>
    <col min="11" max="11" width="18.16015625" style="12" customWidth="1"/>
    <col min="12" max="12" width="12.10546875" customWidth="1"/>
  </cols>
  <sheetData>
    <row r="1" spans="1:12" ht="18.75" x14ac:dyDescent="0.25">
      <c r="A1" s="5" t="s">
        <v>0</v>
      </c>
      <c r="B1" s="5" t="s">
        <v>10</v>
      </c>
      <c r="C1" s="5" t="s">
        <v>39</v>
      </c>
      <c r="D1" s="6" t="s">
        <v>11</v>
      </c>
      <c r="E1" s="5" t="s">
        <v>17</v>
      </c>
      <c r="F1" s="8" t="s">
        <v>30</v>
      </c>
      <c r="G1" s="5" t="s">
        <v>21</v>
      </c>
      <c r="H1" s="5" t="s">
        <v>22</v>
      </c>
      <c r="I1" s="20" t="s">
        <v>31</v>
      </c>
      <c r="J1" s="11" t="s">
        <v>32</v>
      </c>
      <c r="K1" s="5" t="s">
        <v>33</v>
      </c>
    </row>
    <row r="2" spans="1:12" ht="18.75" x14ac:dyDescent="0.25">
      <c r="A2" s="2" t="s">
        <v>1</v>
      </c>
      <c r="B2" s="1" t="s">
        <v>13</v>
      </c>
      <c r="C2" s="2" t="s">
        <v>20</v>
      </c>
      <c r="D2" s="10">
        <v>2000</v>
      </c>
      <c r="E2" s="1" t="s">
        <v>18</v>
      </c>
      <c r="F2" s="7">
        <v>40402</v>
      </c>
      <c r="G2" s="4" t="s">
        <v>27</v>
      </c>
      <c r="H2" s="4" t="s">
        <v>28</v>
      </c>
      <c r="I2" s="12">
        <f t="shared" ref="I2:I10" si="0">D2*0.1</f>
        <v>200</v>
      </c>
      <c r="J2" s="12">
        <f>D2+L5</f>
        <v>2000</v>
      </c>
      <c r="K2" s="4" t="s">
        <v>34</v>
      </c>
    </row>
    <row r="3" spans="1:12" ht="18.75" x14ac:dyDescent="0.25">
      <c r="A3" s="2" t="s">
        <v>2</v>
      </c>
      <c r="B3" s="1" t="s">
        <v>14</v>
      </c>
      <c r="C3" s="2" t="s">
        <v>13</v>
      </c>
      <c r="D3" s="10">
        <v>4000</v>
      </c>
      <c r="E3" s="1" t="s">
        <v>19</v>
      </c>
      <c r="F3" s="7">
        <v>41603</v>
      </c>
      <c r="G3" s="4" t="s">
        <v>23</v>
      </c>
      <c r="H3" s="4" t="s">
        <v>28</v>
      </c>
      <c r="I3" s="12">
        <f t="shared" si="0"/>
        <v>400</v>
      </c>
      <c r="J3" s="12">
        <f t="shared" ref="J3:J10" si="1">D3+I3</f>
        <v>4400</v>
      </c>
      <c r="K3" s="4" t="s">
        <v>35</v>
      </c>
      <c r="L3" s="3"/>
    </row>
    <row r="4" spans="1:12" ht="18.75" x14ac:dyDescent="0.25">
      <c r="A4" s="2" t="s">
        <v>3</v>
      </c>
      <c r="B4" s="9" t="s">
        <v>15</v>
      </c>
      <c r="C4" s="2" t="s">
        <v>14</v>
      </c>
      <c r="D4" s="10">
        <v>5000</v>
      </c>
      <c r="E4" s="1" t="s">
        <v>19</v>
      </c>
      <c r="F4" s="7">
        <v>42041</v>
      </c>
      <c r="G4" s="4" t="s">
        <v>24</v>
      </c>
      <c r="H4" s="4" t="s">
        <v>28</v>
      </c>
      <c r="I4" s="12">
        <f t="shared" si="0"/>
        <v>500</v>
      </c>
      <c r="J4" s="12">
        <f t="shared" si="1"/>
        <v>5500</v>
      </c>
      <c r="K4" s="4" t="s">
        <v>36</v>
      </c>
      <c r="L4" s="3"/>
    </row>
    <row r="5" spans="1:12" ht="18.75" x14ac:dyDescent="0.25">
      <c r="A5" s="2" t="s">
        <v>4</v>
      </c>
      <c r="B5" s="1" t="s">
        <v>40</v>
      </c>
      <c r="C5" s="2" t="s">
        <v>15</v>
      </c>
      <c r="D5" s="10">
        <v>3000</v>
      </c>
      <c r="E5" s="1" t="s">
        <v>18</v>
      </c>
      <c r="F5" s="7">
        <v>42776</v>
      </c>
      <c r="G5" s="4" t="s">
        <v>27</v>
      </c>
      <c r="H5" s="4" t="s">
        <v>28</v>
      </c>
      <c r="I5" s="12">
        <f t="shared" si="0"/>
        <v>300</v>
      </c>
      <c r="J5" s="12">
        <f t="shared" si="1"/>
        <v>3300</v>
      </c>
      <c r="K5" s="4" t="s">
        <v>34</v>
      </c>
    </row>
    <row r="6" spans="1:12" ht="18.75" x14ac:dyDescent="0.25">
      <c r="A6" s="2" t="s">
        <v>5</v>
      </c>
      <c r="B6" s="1" t="s">
        <v>20</v>
      </c>
      <c r="C6" s="2" t="str">
        <f>PROPER("nezar")</f>
        <v>Nezar</v>
      </c>
      <c r="D6" s="10">
        <v>2500</v>
      </c>
      <c r="E6" s="1" t="s">
        <v>18</v>
      </c>
      <c r="F6" s="7">
        <v>43524</v>
      </c>
      <c r="G6" s="4" t="s">
        <v>27</v>
      </c>
      <c r="H6" s="4" t="s">
        <v>28</v>
      </c>
      <c r="I6" s="12">
        <f t="shared" si="0"/>
        <v>250</v>
      </c>
      <c r="J6" s="12">
        <f t="shared" si="1"/>
        <v>2750</v>
      </c>
      <c r="K6" s="4" t="s">
        <v>37</v>
      </c>
    </row>
    <row r="7" spans="1:12" ht="18.75" x14ac:dyDescent="0.25">
      <c r="A7" s="2" t="s">
        <v>6</v>
      </c>
      <c r="B7" s="1" t="s">
        <v>41</v>
      </c>
      <c r="C7" s="2" t="str">
        <f>PROPER("ali")</f>
        <v>Ali</v>
      </c>
      <c r="D7" s="10">
        <v>3500</v>
      </c>
      <c r="E7" s="1" t="s">
        <v>18</v>
      </c>
      <c r="F7" s="7">
        <v>42594</v>
      </c>
      <c r="G7" s="4" t="s">
        <v>27</v>
      </c>
      <c r="H7" s="4" t="s">
        <v>28</v>
      </c>
      <c r="I7" s="12">
        <f t="shared" si="0"/>
        <v>350</v>
      </c>
      <c r="J7" s="12">
        <f t="shared" si="1"/>
        <v>3850</v>
      </c>
      <c r="K7" s="4" t="s">
        <v>38</v>
      </c>
    </row>
    <row r="8" spans="1:12" ht="18.75" x14ac:dyDescent="0.25">
      <c r="A8" s="2" t="s">
        <v>7</v>
      </c>
      <c r="B8" s="1" t="s">
        <v>42</v>
      </c>
      <c r="C8" s="2" t="str">
        <f>PROPER("sobhy")</f>
        <v>Sobhy</v>
      </c>
      <c r="D8" s="10">
        <v>1000</v>
      </c>
      <c r="E8" s="1" t="s">
        <v>19</v>
      </c>
      <c r="F8" s="7">
        <v>44138</v>
      </c>
      <c r="G8" s="4" t="s">
        <v>25</v>
      </c>
      <c r="H8" s="4" t="s">
        <v>28</v>
      </c>
      <c r="I8" s="12">
        <f t="shared" si="0"/>
        <v>100</v>
      </c>
      <c r="J8" s="12">
        <f t="shared" si="1"/>
        <v>1100</v>
      </c>
      <c r="K8" s="4" t="s">
        <v>35</v>
      </c>
    </row>
    <row r="9" spans="1:12" ht="18.75" x14ac:dyDescent="0.25">
      <c r="A9" s="2" t="s">
        <v>8</v>
      </c>
      <c r="B9" s="1" t="s">
        <v>43</v>
      </c>
      <c r="C9" s="2" t="str">
        <f>PROPER("aziz")</f>
        <v>Aziz</v>
      </c>
      <c r="D9" s="10">
        <v>4000</v>
      </c>
      <c r="E9" s="1" t="s">
        <v>19</v>
      </c>
      <c r="F9" s="7">
        <v>44104</v>
      </c>
      <c r="G9" s="4" t="s">
        <v>26</v>
      </c>
      <c r="H9" s="4" t="s">
        <v>28</v>
      </c>
      <c r="I9" s="12">
        <f t="shared" si="0"/>
        <v>400</v>
      </c>
      <c r="J9" s="12">
        <f t="shared" si="1"/>
        <v>4400</v>
      </c>
      <c r="K9" s="4" t="s">
        <v>34</v>
      </c>
    </row>
    <row r="10" spans="1:12" ht="18.75" x14ac:dyDescent="0.25">
      <c r="A10" s="2" t="s">
        <v>9</v>
      </c>
      <c r="B10" s="1" t="s">
        <v>16</v>
      </c>
      <c r="C10" s="2" t="s">
        <v>12</v>
      </c>
      <c r="D10" s="10">
        <v>3000</v>
      </c>
      <c r="E10" s="1" t="s">
        <v>18</v>
      </c>
      <c r="F10" s="7">
        <v>43324</v>
      </c>
      <c r="G10" s="4" t="s">
        <v>27</v>
      </c>
      <c r="H10" s="4" t="s">
        <v>29</v>
      </c>
      <c r="I10" s="12">
        <f t="shared" si="0"/>
        <v>300</v>
      </c>
      <c r="J10" s="12">
        <f t="shared" si="1"/>
        <v>3300</v>
      </c>
      <c r="K10" s="4" t="s">
        <v>34</v>
      </c>
    </row>
    <row r="11" spans="1:12" ht="18.75" x14ac:dyDescent="0.25">
      <c r="A11" s="2" t="s">
        <v>60</v>
      </c>
      <c r="B11" s="1" t="s">
        <v>80</v>
      </c>
      <c r="C11" s="2" t="s">
        <v>81</v>
      </c>
      <c r="D11" s="10">
        <v>4500</v>
      </c>
      <c r="E11" s="1" t="s">
        <v>19</v>
      </c>
      <c r="F11" s="7">
        <v>38459</v>
      </c>
      <c r="G11" s="4" t="s">
        <v>82</v>
      </c>
      <c r="H11" s="4" t="s">
        <v>29</v>
      </c>
      <c r="I11" s="12">
        <f t="shared" ref="I11:I30" si="2">D11*0.1</f>
        <v>450</v>
      </c>
      <c r="J11" s="12">
        <f t="shared" ref="J11:J30" si="3">D11+I11</f>
        <v>4950</v>
      </c>
      <c r="K11" s="4" t="s">
        <v>34</v>
      </c>
    </row>
    <row r="12" spans="1:12" ht="18.75" x14ac:dyDescent="0.25">
      <c r="A12" s="2" t="s">
        <v>61</v>
      </c>
      <c r="B12" s="1" t="s">
        <v>83</v>
      </c>
      <c r="C12" s="2" t="s">
        <v>100</v>
      </c>
      <c r="D12" s="10">
        <v>3500</v>
      </c>
      <c r="E12" s="1" t="s">
        <v>19</v>
      </c>
      <c r="F12" s="7">
        <v>38551</v>
      </c>
      <c r="G12" s="4" t="s">
        <v>82</v>
      </c>
      <c r="H12" s="4" t="s">
        <v>28</v>
      </c>
      <c r="I12" s="12">
        <f t="shared" si="2"/>
        <v>350</v>
      </c>
      <c r="J12" s="12">
        <f t="shared" si="3"/>
        <v>3850</v>
      </c>
      <c r="K12" s="4" t="s">
        <v>35</v>
      </c>
    </row>
    <row r="13" spans="1:12" ht="18.75" x14ac:dyDescent="0.25">
      <c r="A13" s="2" t="s">
        <v>62</v>
      </c>
      <c r="B13" s="1" t="s">
        <v>84</v>
      </c>
      <c r="C13" s="2" t="s">
        <v>99</v>
      </c>
      <c r="D13" s="10">
        <v>3500</v>
      </c>
      <c r="E13" s="1" t="s">
        <v>19</v>
      </c>
      <c r="F13" s="7">
        <v>38826</v>
      </c>
      <c r="G13" s="4" t="s">
        <v>82</v>
      </c>
      <c r="H13" s="4" t="s">
        <v>28</v>
      </c>
      <c r="I13" s="12">
        <f t="shared" si="2"/>
        <v>350</v>
      </c>
      <c r="J13" s="12">
        <f t="shared" si="3"/>
        <v>3850</v>
      </c>
      <c r="K13" s="4" t="s">
        <v>35</v>
      </c>
    </row>
    <row r="14" spans="1:12" ht="18.75" x14ac:dyDescent="0.25">
      <c r="A14" s="2" t="s">
        <v>63</v>
      </c>
      <c r="B14" s="1" t="s">
        <v>85</v>
      </c>
      <c r="C14" s="2" t="s">
        <v>101</v>
      </c>
      <c r="D14" s="10">
        <v>3500</v>
      </c>
      <c r="E14" s="1" t="s">
        <v>19</v>
      </c>
      <c r="F14" s="7">
        <v>39192</v>
      </c>
      <c r="G14" s="4" t="s">
        <v>82</v>
      </c>
      <c r="H14" s="4" t="s">
        <v>28</v>
      </c>
      <c r="I14" s="12">
        <f t="shared" si="2"/>
        <v>350</v>
      </c>
      <c r="J14" s="12">
        <f t="shared" si="3"/>
        <v>3850</v>
      </c>
      <c r="K14" s="4" t="s">
        <v>35</v>
      </c>
    </row>
    <row r="15" spans="1:12" ht="18.75" x14ac:dyDescent="0.25">
      <c r="A15" s="2" t="s">
        <v>64</v>
      </c>
      <c r="B15" s="1" t="s">
        <v>86</v>
      </c>
      <c r="C15" s="2" t="s">
        <v>93</v>
      </c>
      <c r="D15" s="10">
        <v>3500</v>
      </c>
      <c r="E15" s="1" t="s">
        <v>19</v>
      </c>
      <c r="F15" s="7">
        <v>38797</v>
      </c>
      <c r="G15" s="4" t="s">
        <v>82</v>
      </c>
      <c r="H15" s="4" t="s">
        <v>28</v>
      </c>
      <c r="I15" s="12">
        <f t="shared" si="2"/>
        <v>350</v>
      </c>
      <c r="J15" s="12">
        <f t="shared" si="3"/>
        <v>3850</v>
      </c>
      <c r="K15" s="4" t="s">
        <v>35</v>
      </c>
    </row>
    <row r="16" spans="1:12" ht="18.75" x14ac:dyDescent="0.25">
      <c r="A16" s="2" t="s">
        <v>65</v>
      </c>
      <c r="B16" s="1" t="s">
        <v>87</v>
      </c>
      <c r="C16" s="2" t="s">
        <v>102</v>
      </c>
      <c r="D16" s="10">
        <v>3500</v>
      </c>
      <c r="E16" s="1" t="s">
        <v>19</v>
      </c>
      <c r="F16" s="7">
        <v>39621</v>
      </c>
      <c r="G16" s="4" t="s">
        <v>82</v>
      </c>
      <c r="H16" s="4" t="s">
        <v>28</v>
      </c>
      <c r="I16" s="12">
        <f t="shared" si="2"/>
        <v>350</v>
      </c>
      <c r="J16" s="12">
        <f t="shared" si="3"/>
        <v>3850</v>
      </c>
      <c r="K16" s="4" t="s">
        <v>35</v>
      </c>
    </row>
    <row r="17" spans="1:11" ht="18.75" x14ac:dyDescent="0.25">
      <c r="A17" s="2" t="s">
        <v>66</v>
      </c>
      <c r="B17" s="1" t="s">
        <v>88</v>
      </c>
      <c r="C17" s="2" t="s">
        <v>103</v>
      </c>
      <c r="D17" s="10">
        <v>3500</v>
      </c>
      <c r="E17" s="1" t="s">
        <v>19</v>
      </c>
      <c r="F17" s="7">
        <v>39744</v>
      </c>
      <c r="G17" s="4" t="s">
        <v>82</v>
      </c>
      <c r="H17" s="4" t="s">
        <v>28</v>
      </c>
      <c r="I17" s="12">
        <f t="shared" si="2"/>
        <v>350</v>
      </c>
      <c r="J17" s="12">
        <f t="shared" si="3"/>
        <v>3850</v>
      </c>
      <c r="K17" s="4" t="s">
        <v>35</v>
      </c>
    </row>
    <row r="18" spans="1:11" ht="18.75" x14ac:dyDescent="0.25">
      <c r="A18" s="2" t="s">
        <v>67</v>
      </c>
      <c r="B18" s="1" t="s">
        <v>89</v>
      </c>
      <c r="C18" s="2" t="s">
        <v>98</v>
      </c>
      <c r="D18" s="10">
        <v>3500</v>
      </c>
      <c r="E18" s="1" t="s">
        <v>19</v>
      </c>
      <c r="F18" s="7">
        <v>39927</v>
      </c>
      <c r="G18" s="4" t="s">
        <v>82</v>
      </c>
      <c r="H18" s="4" t="s">
        <v>28</v>
      </c>
      <c r="I18" s="12">
        <f t="shared" si="2"/>
        <v>350</v>
      </c>
      <c r="J18" s="12">
        <f t="shared" si="3"/>
        <v>3850</v>
      </c>
      <c r="K18" s="4" t="s">
        <v>35</v>
      </c>
    </row>
    <row r="19" spans="1:11" ht="18.75" x14ac:dyDescent="0.25">
      <c r="A19" s="2" t="s">
        <v>68</v>
      </c>
      <c r="B19" s="1" t="s">
        <v>90</v>
      </c>
      <c r="C19" s="17" t="s">
        <v>20</v>
      </c>
      <c r="D19" s="10">
        <v>3500</v>
      </c>
      <c r="E19" s="1" t="s">
        <v>19</v>
      </c>
      <c r="F19" s="7">
        <v>42149</v>
      </c>
      <c r="G19" s="4" t="s">
        <v>82</v>
      </c>
      <c r="H19" s="4" t="s">
        <v>28</v>
      </c>
      <c r="I19" s="12">
        <f t="shared" si="2"/>
        <v>350</v>
      </c>
      <c r="J19" s="12">
        <f t="shared" si="3"/>
        <v>3850</v>
      </c>
      <c r="K19" s="4" t="s">
        <v>35</v>
      </c>
    </row>
    <row r="20" spans="1:11" ht="18.75" x14ac:dyDescent="0.25">
      <c r="A20" s="2" t="s">
        <v>69</v>
      </c>
      <c r="B20" s="1" t="s">
        <v>91</v>
      </c>
      <c r="C20" s="2" t="s">
        <v>86</v>
      </c>
      <c r="D20" s="10">
        <v>3500</v>
      </c>
      <c r="E20" s="1" t="s">
        <v>19</v>
      </c>
      <c r="F20" s="7">
        <v>41755</v>
      </c>
      <c r="G20" s="4" t="s">
        <v>82</v>
      </c>
      <c r="H20" s="4" t="s">
        <v>28</v>
      </c>
      <c r="I20" s="12">
        <f t="shared" si="2"/>
        <v>350</v>
      </c>
      <c r="J20" s="12">
        <f t="shared" si="3"/>
        <v>3850</v>
      </c>
      <c r="K20" s="4" t="s">
        <v>36</v>
      </c>
    </row>
    <row r="21" spans="1:11" ht="18.75" x14ac:dyDescent="0.25">
      <c r="A21" s="2" t="s">
        <v>70</v>
      </c>
      <c r="B21" s="1" t="s">
        <v>92</v>
      </c>
      <c r="C21" s="2" t="s">
        <v>97</v>
      </c>
      <c r="D21" s="10">
        <v>3500</v>
      </c>
      <c r="E21" s="1" t="s">
        <v>19</v>
      </c>
      <c r="F21" s="7">
        <v>44374</v>
      </c>
      <c r="G21" s="4" t="s">
        <v>82</v>
      </c>
      <c r="H21" s="4" t="s">
        <v>28</v>
      </c>
      <c r="I21" s="12">
        <f t="shared" si="2"/>
        <v>350</v>
      </c>
      <c r="J21" s="12">
        <f t="shared" si="3"/>
        <v>3850</v>
      </c>
      <c r="K21" s="4" t="s">
        <v>36</v>
      </c>
    </row>
    <row r="22" spans="1:11" ht="18.75" x14ac:dyDescent="0.25">
      <c r="A22" s="2" t="s">
        <v>71</v>
      </c>
      <c r="B22" s="1" t="s">
        <v>93</v>
      </c>
      <c r="C22" s="2" t="s">
        <v>96</v>
      </c>
      <c r="D22" s="10">
        <v>3000</v>
      </c>
      <c r="E22" s="1" t="s">
        <v>18</v>
      </c>
      <c r="F22" s="7">
        <v>45135</v>
      </c>
      <c r="G22" s="4" t="s">
        <v>27</v>
      </c>
      <c r="H22" s="4" t="s">
        <v>28</v>
      </c>
      <c r="I22" s="12">
        <f t="shared" si="2"/>
        <v>300</v>
      </c>
      <c r="J22" s="12">
        <f t="shared" si="3"/>
        <v>3300</v>
      </c>
      <c r="K22" s="4" t="s">
        <v>36</v>
      </c>
    </row>
    <row r="23" spans="1:11" ht="18.75" x14ac:dyDescent="0.25">
      <c r="A23" s="2" t="s">
        <v>72</v>
      </c>
      <c r="B23" s="1" t="s">
        <v>94</v>
      </c>
      <c r="C23" s="2" t="s">
        <v>95</v>
      </c>
      <c r="D23" s="10">
        <v>2500</v>
      </c>
      <c r="E23" s="1" t="s">
        <v>18</v>
      </c>
      <c r="F23" s="7">
        <v>44680</v>
      </c>
      <c r="G23" s="4" t="s">
        <v>27</v>
      </c>
      <c r="H23" s="4" t="s">
        <v>28</v>
      </c>
      <c r="I23" s="12">
        <f t="shared" si="2"/>
        <v>250</v>
      </c>
      <c r="J23" s="12">
        <f t="shared" si="3"/>
        <v>2750</v>
      </c>
      <c r="K23" s="4" t="s">
        <v>36</v>
      </c>
    </row>
    <row r="24" spans="1:11" ht="18.75" x14ac:dyDescent="0.25">
      <c r="A24" s="2" t="s">
        <v>73</v>
      </c>
      <c r="B24" s="1" t="s">
        <v>104</v>
      </c>
      <c r="C24" s="2" t="s">
        <v>105</v>
      </c>
      <c r="D24" s="10">
        <v>2500</v>
      </c>
      <c r="E24" s="1" t="s">
        <v>18</v>
      </c>
      <c r="F24" s="7">
        <v>42734</v>
      </c>
      <c r="G24" s="4" t="s">
        <v>27</v>
      </c>
      <c r="H24" s="4" t="s">
        <v>29</v>
      </c>
      <c r="I24" s="12">
        <f t="shared" si="2"/>
        <v>250</v>
      </c>
      <c r="J24" s="12">
        <f t="shared" si="3"/>
        <v>2750</v>
      </c>
      <c r="K24" s="4" t="s">
        <v>36</v>
      </c>
    </row>
    <row r="25" spans="1:11" ht="18.75" x14ac:dyDescent="0.25">
      <c r="A25" s="2" t="s">
        <v>74</v>
      </c>
      <c r="B25" s="1" t="s">
        <v>80</v>
      </c>
      <c r="C25" s="2" t="s">
        <v>106</v>
      </c>
      <c r="D25" s="10">
        <v>2500</v>
      </c>
      <c r="E25" s="1" t="s">
        <v>18</v>
      </c>
      <c r="F25" s="7">
        <v>42736</v>
      </c>
      <c r="G25" s="4" t="s">
        <v>27</v>
      </c>
      <c r="H25" s="4" t="s">
        <v>29</v>
      </c>
      <c r="I25" s="12">
        <f t="shared" si="2"/>
        <v>250</v>
      </c>
      <c r="J25" s="12">
        <f t="shared" si="3"/>
        <v>2750</v>
      </c>
      <c r="K25" s="4" t="s">
        <v>37</v>
      </c>
    </row>
    <row r="26" spans="1:11" ht="18.75" x14ac:dyDescent="0.25">
      <c r="A26" s="2" t="s">
        <v>75</v>
      </c>
      <c r="B26" s="1" t="s">
        <v>107</v>
      </c>
      <c r="C26" s="2" t="s">
        <v>108</v>
      </c>
      <c r="D26" s="10">
        <v>2500</v>
      </c>
      <c r="E26" s="1" t="s">
        <v>18</v>
      </c>
      <c r="F26" s="7">
        <v>42980</v>
      </c>
      <c r="G26" s="4" t="s">
        <v>27</v>
      </c>
      <c r="H26" s="4" t="s">
        <v>29</v>
      </c>
      <c r="I26" s="12">
        <f t="shared" si="2"/>
        <v>250</v>
      </c>
      <c r="J26" s="12">
        <f t="shared" si="3"/>
        <v>2750</v>
      </c>
      <c r="K26" s="4" t="s">
        <v>37</v>
      </c>
    </row>
    <row r="27" spans="1:11" ht="18.75" x14ac:dyDescent="0.25">
      <c r="A27" s="2" t="s">
        <v>76</v>
      </c>
      <c r="B27" s="1" t="s">
        <v>109</v>
      </c>
      <c r="C27" s="2" t="s">
        <v>110</v>
      </c>
      <c r="D27" s="10">
        <v>2500</v>
      </c>
      <c r="E27" s="1" t="s">
        <v>18</v>
      </c>
      <c r="F27" s="7">
        <v>42858</v>
      </c>
      <c r="G27" s="4" t="s">
        <v>27</v>
      </c>
      <c r="H27" s="4" t="s">
        <v>29</v>
      </c>
      <c r="I27" s="12">
        <f t="shared" si="2"/>
        <v>250</v>
      </c>
      <c r="J27" s="12">
        <f t="shared" si="3"/>
        <v>2750</v>
      </c>
      <c r="K27" s="4" t="s">
        <v>34</v>
      </c>
    </row>
    <row r="28" spans="1:11" ht="18.75" x14ac:dyDescent="0.25">
      <c r="A28" s="2" t="s">
        <v>77</v>
      </c>
      <c r="B28" s="1" t="s">
        <v>111</v>
      </c>
      <c r="C28" s="2" t="s">
        <v>112</v>
      </c>
      <c r="D28" s="10">
        <v>2500</v>
      </c>
      <c r="E28" s="1" t="s">
        <v>18</v>
      </c>
      <c r="F28" s="7">
        <v>43224</v>
      </c>
      <c r="G28" s="4" t="s">
        <v>27</v>
      </c>
      <c r="H28" s="4" t="s">
        <v>29</v>
      </c>
      <c r="I28" s="12">
        <f t="shared" si="2"/>
        <v>250</v>
      </c>
      <c r="J28" s="12">
        <f t="shared" si="3"/>
        <v>2750</v>
      </c>
      <c r="K28" s="4" t="s">
        <v>34</v>
      </c>
    </row>
    <row r="29" spans="1:11" ht="18.75" x14ac:dyDescent="0.25">
      <c r="A29" s="2" t="s">
        <v>78</v>
      </c>
      <c r="B29" s="1" t="s">
        <v>113</v>
      </c>
      <c r="C29" s="2" t="s">
        <v>114</v>
      </c>
      <c r="D29" s="10">
        <v>2500</v>
      </c>
      <c r="E29" s="1" t="s">
        <v>18</v>
      </c>
      <c r="F29" s="7">
        <v>43225</v>
      </c>
      <c r="G29" s="4" t="s">
        <v>27</v>
      </c>
      <c r="H29" s="4" t="s">
        <v>29</v>
      </c>
      <c r="I29" s="12">
        <f t="shared" si="2"/>
        <v>250</v>
      </c>
      <c r="J29" s="12">
        <f t="shared" si="3"/>
        <v>2750</v>
      </c>
      <c r="K29" s="4" t="s">
        <v>34</v>
      </c>
    </row>
    <row r="30" spans="1:11" ht="18.75" x14ac:dyDescent="0.25">
      <c r="A30" s="2" t="s">
        <v>79</v>
      </c>
      <c r="B30" s="1" t="s">
        <v>115</v>
      </c>
      <c r="C30" s="2" t="s">
        <v>116</v>
      </c>
      <c r="D30" s="10">
        <v>2500</v>
      </c>
      <c r="E30" s="1" t="s">
        <v>18</v>
      </c>
      <c r="F30" s="7">
        <v>43591</v>
      </c>
      <c r="G30" s="4" t="s">
        <v>27</v>
      </c>
      <c r="H30" s="4" t="s">
        <v>29</v>
      </c>
      <c r="I30" s="12">
        <f t="shared" si="2"/>
        <v>250</v>
      </c>
      <c r="J30" s="12">
        <f t="shared" si="3"/>
        <v>2750</v>
      </c>
      <c r="K30" s="4" t="s">
        <v>34</v>
      </c>
    </row>
  </sheetData>
  <phoneticPr fontId="2" type="noConversion"/>
  <conditionalFormatting sqref="A1:K1 A2:A30 C2:F30">
    <cfRule type="containsText" dxfId="0" priority="1" operator="containsText" text="&quot;iT&quot;">
      <formula>NOT(ISERROR(SEARCH("""iT""",A1)))</formula>
    </cfRule>
  </conditionalFormatting>
  <pageMargins left="0.7" right="0.7" top="0.75" bottom="0.75" header="0.3" footer="0.3"/>
  <pageSetup paperSize="9" orientation="portrait" r:id="rId1"/>
  <ignoredErrors>
    <ignoredError sqref="J2" calculatedColumn="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Department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Faisal Abdelaziz Bokmar</dc:creator>
  <cp:lastModifiedBy>Mariam Faisal Abdelaziz Bokmar</cp:lastModifiedBy>
  <dcterms:created xsi:type="dcterms:W3CDTF">2026-02-03T08:03:03Z</dcterms:created>
  <dcterms:modified xsi:type="dcterms:W3CDTF">2026-02-12T09:21:27Z</dcterms:modified>
</cp:coreProperties>
</file>